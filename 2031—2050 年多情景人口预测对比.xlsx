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<sst xmlns="http://schemas.openxmlformats.org/spreadsheetml/2006/main" count="5" uniqueCount="5">
  <si>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年份</t>
  </si>
  <si>
    <t>高生育率 Leslie</t>
  </si>
  <si>
    <t>中生育率 Leslie</t>
  </si>
  <si>
    <t>低生育率 Leslie</t>
  </si>
  <si>
    <t>Logistic 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</si>
</sst>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图 3</a:t>
            </a:r>
            <a:r>
              <a:rPr lang="en-US" altLang="zh-CN"/>
              <a:t>  </a:t>
            </a:r>
            <a:r>
              <a:t>2031—2050 年多情景人口预测对比图</a:t>
            </a:r>
          </a:p>
        </c:rich>
      </c:tx>
      <c:layout>
        <c:manualLayout>
          <c:xMode val="edge"/>
          <c:yMode val="edge"/>
          <c:x val="0.152697368421053"/>
          <c:y val="0.87152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1526315789474"/>
          <c:y val="0.0520833333333333"/>
          <c:w val="0.564"/>
          <c:h val="0.571388888888889"/>
        </c:manualLayout>
      </c:layout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高生育率 Leslie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Sheet1!$A$2:$A$21</c:f>
              <c:numCache>
                <c:formatCode>0_ </c:formatCode>
                <c:ptCount val="20"/>
                <c:pt idx="0" c:formatCode="0_ ">
                  <c:v>2031</c:v>
                </c:pt>
                <c:pt idx="1" c:formatCode="0_ ">
                  <c:v>2032</c:v>
                </c:pt>
                <c:pt idx="2" c:formatCode="0_ ">
                  <c:v>2033</c:v>
                </c:pt>
                <c:pt idx="3" c:formatCode="0_ ">
                  <c:v>2034</c:v>
                </c:pt>
                <c:pt idx="4" c:formatCode="0_ ">
                  <c:v>2035</c:v>
                </c:pt>
                <c:pt idx="5" c:formatCode="0_ ">
                  <c:v>2036</c:v>
                </c:pt>
                <c:pt idx="6" c:formatCode="0_ ">
                  <c:v>2037</c:v>
                </c:pt>
                <c:pt idx="7" c:formatCode="0_ ">
                  <c:v>2038</c:v>
                </c:pt>
                <c:pt idx="8" c:formatCode="0_ ">
                  <c:v>2039</c:v>
                </c:pt>
                <c:pt idx="9" c:formatCode="0_ ">
                  <c:v>2040</c:v>
                </c:pt>
                <c:pt idx="10" c:formatCode="0_ ">
                  <c:v>2041</c:v>
                </c:pt>
                <c:pt idx="11" c:formatCode="0_ ">
                  <c:v>2042</c:v>
                </c:pt>
                <c:pt idx="12" c:formatCode="0_ ">
                  <c:v>2043</c:v>
                </c:pt>
                <c:pt idx="13" c:formatCode="0_ ">
                  <c:v>2044</c:v>
                </c:pt>
                <c:pt idx="14" c:formatCode="0_ ">
                  <c:v>2045</c:v>
                </c:pt>
                <c:pt idx="15" c:formatCode="0_ ">
                  <c:v>2046</c:v>
                </c:pt>
                <c:pt idx="16" c:formatCode="0_ ">
                  <c:v>2047</c:v>
                </c:pt>
                <c:pt idx="17" c:formatCode="0_ ">
                  <c:v>2048</c:v>
                </c:pt>
                <c:pt idx="18" c:formatCode="0_ ">
                  <c:v>2049</c:v>
                </c:pt>
                <c:pt idx="19" c:formatCode="0_ ">
                  <c:v>2050</c:v>
                </c:pt>
              </c:numCache>
            </c:numRef>
          </c:cat>
          <c:val>
            <c:numRef>
              <c:f>Sheet1!$B$2:$B$21</c:f>
              <c:numCache>
                <c:formatCode>0_ </c:formatCode>
                <c:ptCount val="20"/>
                <c:pt idx="0">
                  <c:v>141000</c:v>
                </c:pt>
                <c:pt idx="1">
                  <c:v>140718</c:v>
                </c:pt>
                <c:pt idx="2">
                  <c:v>140436.564</c:v>
                </c:pt>
                <c:pt idx="3">
                  <c:v>140155.690872</c:v>
                </c:pt>
                <c:pt idx="4">
                  <c:v>139875.379490256</c:v>
                </c:pt>
                <c:pt idx="5">
                  <c:v>139595.628731276</c:v>
                </c:pt>
                <c:pt idx="6">
                  <c:v>139316.437473813</c:v>
                </c:pt>
                <c:pt idx="7">
                  <c:v>139037.804598865</c:v>
                </c:pt>
                <c:pt idx="8">
                  <c:v>138759.728989668</c:v>
                </c:pt>
                <c:pt idx="9">
                  <c:v>138482.209531688</c:v>
                </c:pt>
                <c:pt idx="10">
                  <c:v>138205.245112625</c:v>
                </c:pt>
                <c:pt idx="11">
                  <c:v>137928.8346224</c:v>
                </c:pt>
                <c:pt idx="12">
                  <c:v>137652.976953155</c:v>
                </c:pt>
                <c:pt idx="13">
                  <c:v>137377.670999249</c:v>
                </c:pt>
                <c:pt idx="14">
                  <c:v>137102.91565725</c:v>
                </c:pt>
                <c:pt idx="15">
                  <c:v>136828.709825936</c:v>
                </c:pt>
                <c:pt idx="16">
                  <c:v>136555.052406284</c:v>
                </c:pt>
                <c:pt idx="17">
                  <c:v>136281.942301471</c:v>
                </c:pt>
                <c:pt idx="18">
                  <c:v>136009.378416868</c:v>
                </c:pt>
                <c:pt idx="19">
                  <c:v>135737.359660034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中生育率 Leslie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Sheet1!$A$2:$A$21</c:f>
              <c:numCache>
                <c:formatCode>0_ </c:formatCode>
                <c:ptCount val="20"/>
                <c:pt idx="0" c:formatCode="0_ ">
                  <c:v>2031</c:v>
                </c:pt>
                <c:pt idx="1" c:formatCode="0_ ">
                  <c:v>2032</c:v>
                </c:pt>
                <c:pt idx="2" c:formatCode="0_ ">
                  <c:v>2033</c:v>
                </c:pt>
                <c:pt idx="3" c:formatCode="0_ ">
                  <c:v>2034</c:v>
                </c:pt>
                <c:pt idx="4" c:formatCode="0_ ">
                  <c:v>2035</c:v>
                </c:pt>
                <c:pt idx="5" c:formatCode="0_ ">
                  <c:v>2036</c:v>
                </c:pt>
                <c:pt idx="6" c:formatCode="0_ ">
                  <c:v>2037</c:v>
                </c:pt>
                <c:pt idx="7" c:formatCode="0_ ">
                  <c:v>2038</c:v>
                </c:pt>
                <c:pt idx="8" c:formatCode="0_ ">
                  <c:v>2039</c:v>
                </c:pt>
                <c:pt idx="9" c:formatCode="0_ ">
                  <c:v>2040</c:v>
                </c:pt>
                <c:pt idx="10" c:formatCode="0_ ">
                  <c:v>2041</c:v>
                </c:pt>
                <c:pt idx="11" c:formatCode="0_ ">
                  <c:v>2042</c:v>
                </c:pt>
                <c:pt idx="12" c:formatCode="0_ ">
                  <c:v>2043</c:v>
                </c:pt>
                <c:pt idx="13" c:formatCode="0_ ">
                  <c:v>2044</c:v>
                </c:pt>
                <c:pt idx="14" c:formatCode="0_ ">
                  <c:v>2045</c:v>
                </c:pt>
                <c:pt idx="15" c:formatCode="0_ ">
                  <c:v>2046</c:v>
                </c:pt>
                <c:pt idx="16" c:formatCode="0_ ">
                  <c:v>2047</c:v>
                </c:pt>
                <c:pt idx="17" c:formatCode="0_ ">
                  <c:v>2048</c:v>
                </c:pt>
                <c:pt idx="18" c:formatCode="0_ ">
                  <c:v>2049</c:v>
                </c:pt>
                <c:pt idx="19" c:formatCode="0_ ">
                  <c:v>2050</c:v>
                </c:pt>
              </c:numCache>
            </c:numRef>
          </c:cat>
          <c:val>
            <c:numRef>
              <c:f>Sheet1!$C$2:$C$21</c:f>
              <c:numCache>
                <c:formatCode>0_ </c:formatCode>
                <c:ptCount val="20"/>
                <c:pt idx="0">
                  <c:v>141000</c:v>
                </c:pt>
                <c:pt idx="1">
                  <c:v>140295</c:v>
                </c:pt>
                <c:pt idx="2">
                  <c:v>139593.525</c:v>
                </c:pt>
                <c:pt idx="3">
                  <c:v>138895.557375</c:v>
                </c:pt>
                <c:pt idx="4">
                  <c:v>138201.079588125</c:v>
                </c:pt>
                <c:pt idx="5">
                  <c:v>137510.074190184</c:v>
                </c:pt>
                <c:pt idx="6">
                  <c:v>136822.523819233</c:v>
                </c:pt>
                <c:pt idx="7">
                  <c:v>136138.411200137</c:v>
                </c:pt>
                <c:pt idx="8">
                  <c:v>135457.719144137</c:v>
                </c:pt>
                <c:pt idx="9">
                  <c:v>134780.430548416</c:v>
                </c:pt>
                <c:pt idx="10">
                  <c:v>134106.528395674</c:v>
                </c:pt>
                <c:pt idx="11">
                  <c:v>133435.995753695</c:v>
                </c:pt>
                <c:pt idx="12">
                  <c:v>132768.815774927</c:v>
                </c:pt>
                <c:pt idx="13">
                  <c:v>132104.971696052</c:v>
                </c:pt>
                <c:pt idx="14">
                  <c:v>131444.446837572</c:v>
                </c:pt>
                <c:pt idx="15">
                  <c:v>130787.224603384</c:v>
                </c:pt>
                <c:pt idx="16">
                  <c:v>130133.288480367</c:v>
                </c:pt>
                <c:pt idx="17">
                  <c:v>129482.622037965</c:v>
                </c:pt>
                <c:pt idx="18">
                  <c:v>128835.208927776</c:v>
                </c:pt>
                <c:pt idx="19">
                  <c:v>128191.032883137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低生育率 Leslie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Sheet1!$A$2:$A$21</c:f>
              <c:numCache>
                <c:formatCode>0_ </c:formatCode>
                <c:ptCount val="20"/>
                <c:pt idx="0" c:formatCode="0_ ">
                  <c:v>2031</c:v>
                </c:pt>
                <c:pt idx="1" c:formatCode="0_ ">
                  <c:v>2032</c:v>
                </c:pt>
                <c:pt idx="2" c:formatCode="0_ ">
                  <c:v>2033</c:v>
                </c:pt>
                <c:pt idx="3" c:formatCode="0_ ">
                  <c:v>2034</c:v>
                </c:pt>
                <c:pt idx="4" c:formatCode="0_ ">
                  <c:v>2035</c:v>
                </c:pt>
                <c:pt idx="5" c:formatCode="0_ ">
                  <c:v>2036</c:v>
                </c:pt>
                <c:pt idx="6" c:formatCode="0_ ">
                  <c:v>2037</c:v>
                </c:pt>
                <c:pt idx="7" c:formatCode="0_ ">
                  <c:v>2038</c:v>
                </c:pt>
                <c:pt idx="8" c:formatCode="0_ ">
                  <c:v>2039</c:v>
                </c:pt>
                <c:pt idx="9" c:formatCode="0_ ">
                  <c:v>2040</c:v>
                </c:pt>
                <c:pt idx="10" c:formatCode="0_ ">
                  <c:v>2041</c:v>
                </c:pt>
                <c:pt idx="11" c:formatCode="0_ ">
                  <c:v>2042</c:v>
                </c:pt>
                <c:pt idx="12" c:formatCode="0_ ">
                  <c:v>2043</c:v>
                </c:pt>
                <c:pt idx="13" c:formatCode="0_ ">
                  <c:v>2044</c:v>
                </c:pt>
                <c:pt idx="14" c:formatCode="0_ ">
                  <c:v>2045</c:v>
                </c:pt>
                <c:pt idx="15" c:formatCode="0_ ">
                  <c:v>2046</c:v>
                </c:pt>
                <c:pt idx="16" c:formatCode="0_ ">
                  <c:v>2047</c:v>
                </c:pt>
                <c:pt idx="17" c:formatCode="0_ ">
                  <c:v>2048</c:v>
                </c:pt>
                <c:pt idx="18" c:formatCode="0_ ">
                  <c:v>2049</c:v>
                </c:pt>
                <c:pt idx="19" c:formatCode="0_ ">
                  <c:v>2050</c:v>
                </c:pt>
              </c:numCache>
            </c:numRef>
          </c:cat>
          <c:val>
            <c:numRef>
              <c:f>Sheet1!$D$2:$D$21</c:f>
              <c:numCache>
                <c:formatCode>0_ </c:formatCode>
                <c:ptCount val="20"/>
                <c:pt idx="0">
                  <c:v>141000</c:v>
                </c:pt>
                <c:pt idx="1">
                  <c:v>139872</c:v>
                </c:pt>
                <c:pt idx="2">
                  <c:v>138753.024</c:v>
                </c:pt>
                <c:pt idx="3">
                  <c:v>137642.999808</c:v>
                </c:pt>
                <c:pt idx="4">
                  <c:v>136541.855809536</c:v>
                </c:pt>
                <c:pt idx="5">
                  <c:v>135449.52096306</c:v>
                </c:pt>
                <c:pt idx="6">
                  <c:v>134365.924795355</c:v>
                </c:pt>
                <c:pt idx="7">
                  <c:v>133290.997396992</c:v>
                </c:pt>
                <c:pt idx="8">
                  <c:v>132224.669417816</c:v>
                </c:pt>
                <c:pt idx="9">
                  <c:v>131166.872062474</c:v>
                </c:pt>
                <c:pt idx="10">
                  <c:v>130117.537085974</c:v>
                </c:pt>
                <c:pt idx="11">
                  <c:v>129076.596789286</c:v>
                </c:pt>
                <c:pt idx="12">
                  <c:v>128043.984014972</c:v>
                </c:pt>
                <c:pt idx="13">
                  <c:v>127019.632142852</c:v>
                </c:pt>
                <c:pt idx="14">
                  <c:v>126003.475085709</c:v>
                </c:pt>
                <c:pt idx="15">
                  <c:v>124995.447285024</c:v>
                </c:pt>
                <c:pt idx="16">
                  <c:v>123995.483706744</c:v>
                </c:pt>
                <c:pt idx="17">
                  <c:v>123003.51983709</c:v>
                </c:pt>
                <c:pt idx="18">
                  <c:v>122019.491678393</c:v>
                </c:pt>
                <c:pt idx="19">
                  <c:v>121043.335744966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Logistic 模型</c:v>
                </c:pt>
              </c:strCache>
            </c:strRef>
          </c:tx>
          <c:spPr>
            <a:ln w="28575" cap="rnd" cmpd="thickThin">
              <a:solidFill>
                <a:srgbClr val="FF0000"/>
              </a:solidFill>
              <a:prstDash val="sysDot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Sheet1!$A$2:$A$21</c:f>
              <c:numCache>
                <c:formatCode>0_ </c:formatCode>
                <c:ptCount val="20"/>
                <c:pt idx="0" c:formatCode="0_ ">
                  <c:v>2031</c:v>
                </c:pt>
                <c:pt idx="1" c:formatCode="0_ ">
                  <c:v>2032</c:v>
                </c:pt>
                <c:pt idx="2" c:formatCode="0_ ">
                  <c:v>2033</c:v>
                </c:pt>
                <c:pt idx="3" c:formatCode="0_ ">
                  <c:v>2034</c:v>
                </c:pt>
                <c:pt idx="4" c:formatCode="0_ ">
                  <c:v>2035</c:v>
                </c:pt>
                <c:pt idx="5" c:formatCode="0_ ">
                  <c:v>2036</c:v>
                </c:pt>
                <c:pt idx="6" c:formatCode="0_ ">
                  <c:v>2037</c:v>
                </c:pt>
                <c:pt idx="7" c:formatCode="0_ ">
                  <c:v>2038</c:v>
                </c:pt>
                <c:pt idx="8" c:formatCode="0_ ">
                  <c:v>2039</c:v>
                </c:pt>
                <c:pt idx="9" c:formatCode="0_ ">
                  <c:v>2040</c:v>
                </c:pt>
                <c:pt idx="10" c:formatCode="0_ ">
                  <c:v>2041</c:v>
                </c:pt>
                <c:pt idx="11" c:formatCode="0_ ">
                  <c:v>2042</c:v>
                </c:pt>
                <c:pt idx="12" c:formatCode="0_ ">
                  <c:v>2043</c:v>
                </c:pt>
                <c:pt idx="13" c:formatCode="0_ ">
                  <c:v>2044</c:v>
                </c:pt>
                <c:pt idx="14" c:formatCode="0_ ">
                  <c:v>2045</c:v>
                </c:pt>
                <c:pt idx="15" c:formatCode="0_ ">
                  <c:v>2046</c:v>
                </c:pt>
                <c:pt idx="16" c:formatCode="0_ ">
                  <c:v>2047</c:v>
                </c:pt>
                <c:pt idx="17" c:formatCode="0_ ">
                  <c:v>2048</c:v>
                </c:pt>
                <c:pt idx="18" c:formatCode="0_ ">
                  <c:v>2049</c:v>
                </c:pt>
                <c:pt idx="19" c:formatCode="0_ ">
                  <c:v>2050</c:v>
                </c:pt>
              </c:numCache>
            </c:numRef>
          </c:cat>
          <c:val>
            <c:numRef>
              <c:f>Sheet1!$E$2:$E$21</c:f>
              <c:numCache>
                <c:formatCode>0_ </c:formatCode>
                <c:ptCount val="20"/>
                <c:pt idx="0">
                  <c:v>145073.156242028</c:v>
                </c:pt>
                <c:pt idx="1">
                  <c:v>145160.271864357</c:v>
                </c:pt>
                <c:pt idx="2">
                  <c:v>145242.188386119</c:v>
                </c:pt>
                <c:pt idx="3">
                  <c:v>145319.210688561</c:v>
                </c:pt>
                <c:pt idx="4">
                  <c:v>145391.626407019</c:v>
                </c:pt>
                <c:pt idx="5">
                  <c:v>145459.706831895</c:v>
                </c:pt>
                <c:pt idx="6">
                  <c:v>145523.707771528</c:v>
                </c:pt>
                <c:pt idx="7">
                  <c:v>145583.870377437</c:v>
                </c:pt>
                <c:pt idx="8">
                  <c:v>145640.421932555</c:v>
                </c:pt>
                <c:pt idx="9">
                  <c:v>145693.576603253</c:v>
                </c:pt>
                <c:pt idx="10">
                  <c:v>145743.536156029</c:v>
                </c:pt>
                <c:pt idx="11">
                  <c:v>145790.490639858</c:v>
                </c:pt>
                <c:pt idx="12">
                  <c:v>145834.619035231</c:v>
                </c:pt>
                <c:pt idx="13">
                  <c:v>145876.089870998</c:v>
                </c:pt>
                <c:pt idx="14">
                  <c:v>145915.06181015</c:v>
                </c:pt>
                <c:pt idx="15">
                  <c:v>145951.684205689</c:v>
                </c:pt>
                <c:pt idx="16">
                  <c:v>145986.097627758</c:v>
                </c:pt>
                <c:pt idx="17">
                  <c:v>146018.434363207</c:v>
                </c:pt>
                <c:pt idx="18">
                  <c:v>146048.818888752</c:v>
                </c:pt>
                <c:pt idx="19">
                  <c:v>146077.368318883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2713934"/>
        <c:axId val="7522749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年份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0_ </c:formatCode>
                      <c:ptCount val="20"/>
                      <c:pt idx="0" c:formatCode="0_ ">
                        <c:v>2031</c:v>
                      </c:pt>
                      <c:pt idx="1" c:formatCode="0_ ">
                        <c:v>2032</c:v>
                      </c:pt>
                      <c:pt idx="2" c:formatCode="0_ ">
                        <c:v>2033</c:v>
                      </c:pt>
                      <c:pt idx="3" c:formatCode="0_ ">
                        <c:v>2034</c:v>
                      </c:pt>
                      <c:pt idx="4" c:formatCode="0_ ">
                        <c:v>2035</c:v>
                      </c:pt>
                      <c:pt idx="5" c:formatCode="0_ ">
                        <c:v>2036</c:v>
                      </c:pt>
                      <c:pt idx="6" c:formatCode="0_ ">
                        <c:v>2037</c:v>
                      </c:pt>
                      <c:pt idx="7" c:formatCode="0_ ">
                        <c:v>2038</c:v>
                      </c:pt>
                      <c:pt idx="8" c:formatCode="0_ ">
                        <c:v>2039</c:v>
                      </c:pt>
                      <c:pt idx="9" c:formatCode="0_ ">
                        <c:v>2040</c:v>
                      </c:pt>
                      <c:pt idx="10" c:formatCode="0_ ">
                        <c:v>2041</c:v>
                      </c:pt>
                      <c:pt idx="11" c:formatCode="0_ ">
                        <c:v>2042</c:v>
                      </c:pt>
                      <c:pt idx="12" c:formatCode="0_ ">
                        <c:v>2043</c:v>
                      </c:pt>
                      <c:pt idx="13" c:formatCode="0_ ">
                        <c:v>2044</c:v>
                      </c:pt>
                      <c:pt idx="14" c:formatCode="0_ ">
                        <c:v>2045</c:v>
                      </c:pt>
                      <c:pt idx="15" c:formatCode="0_ ">
                        <c:v>2046</c:v>
                      </c:pt>
                      <c:pt idx="16" c:formatCode="0_ ">
                        <c:v>2047</c:v>
                      </c:pt>
                      <c:pt idx="17" c:formatCode="0_ ">
                        <c:v>2048</c:v>
                      </c:pt>
                      <c:pt idx="18" c:formatCode="0_ ">
                        <c:v>2049</c:v>
                      </c:pt>
                      <c:pt idx="19" c:formatCode="0_ ">
                        <c:v>2050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Sheet1!$A$2:$A$21</c15:sqref>
                        </c15:formulaRef>
                      </c:ext>
                    </c:extLst>
                    <c:numCache>
                      <c:formatCode>0_ </c:formatCode>
                      <c:ptCount val="20"/>
                      <c:pt idx="0">
                        <c:v>2031</c:v>
                      </c:pt>
                      <c:pt idx="1">
                        <c:v>2032</c:v>
                      </c:pt>
                      <c:pt idx="2">
                        <c:v>2033</c:v>
                      </c:pt>
                      <c:pt idx="3">
                        <c:v>2034</c:v>
                      </c:pt>
                      <c:pt idx="4">
                        <c:v>2035</c:v>
                      </c:pt>
                      <c:pt idx="5">
                        <c:v>2036</c:v>
                      </c:pt>
                      <c:pt idx="6">
                        <c:v>2037</c:v>
                      </c:pt>
                      <c:pt idx="7">
                        <c:v>2038</c:v>
                      </c:pt>
                      <c:pt idx="8">
                        <c:v>2039</c:v>
                      </c:pt>
                      <c:pt idx="9">
                        <c:v>2040</c:v>
                      </c:pt>
                      <c:pt idx="10">
                        <c:v>2041</c:v>
                      </c:pt>
                      <c:pt idx="11">
                        <c:v>2042</c:v>
                      </c:pt>
                      <c:pt idx="12">
                        <c:v>2043</c:v>
                      </c:pt>
                      <c:pt idx="13">
                        <c:v>2044</c:v>
                      </c:pt>
                      <c:pt idx="14">
                        <c:v>2045</c:v>
                      </c:pt>
                      <c:pt idx="15">
                        <c:v>2046</c:v>
                      </c:pt>
                      <c:pt idx="16">
                        <c:v>2047</c:v>
                      </c:pt>
                      <c:pt idx="17">
                        <c:v>2048</c:v>
                      </c:pt>
                      <c:pt idx="18">
                        <c:v>2049</c:v>
                      </c:pt>
                      <c:pt idx="19">
                        <c:v>2050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927139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年份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274971"/>
        <c:crosses val="autoZero"/>
        <c:auto val="1"/>
        <c:lblAlgn val="ctr"/>
        <c:lblOffset val="100"/>
        <c:noMultiLvlLbl val="0"/>
      </c:catAx>
      <c:valAx>
        <c:axId val="752274971"/>
        <c:scaling>
          <c:orientation val="minMax"/>
          <c:min val="12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年末总人口（万人）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27139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526315789474"/>
          <c:y val="0.20937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542925</xdr:colOff>
      <xdr:row>6</xdr:row>
      <xdr:rowOff>155575</xdr:rowOff>
    </xdr:from>
    <xdr:to>
      <xdr:col>12</xdr:col>
      <xdr:colOff>568325</xdr:colOff>
      <xdr:row>22</xdr:row>
      <xdr:rowOff>155575</xdr:rowOff>
    </xdr:to>
    <xdr:graphicFrame>
      <xdr:nvGraphicFramePr>
        <xdr:cNvPr id="2" name="图表 1"/>
        <xdr:cNvGraphicFramePr/>
      </xdr:nvGraphicFramePr>
      <xdr:xfrm>
        <a:off x="7086600" y="1184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="145" zoomScaleNormal="145" topLeftCell="C1" workbookViewId="0">
      <selection activeCell="I26" sqref="I26"/>
    </sheetView>
  </sheetViews>
  <sheetFormatPr defaultColWidth="9" defaultRowHeight="13.5" outlineLevelCol="4"/>
  <cols>
    <col min="2" max="2" width="19.375" customWidth="1"/>
    <col min="3" max="3" width="20.25" customWidth="1"/>
    <col min="4" max="4" width="21.375" customWidth="1"/>
    <col min="5" max="5" width="15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2031</v>
      </c>
      <c r="B2" s="1">
        <f>141000*(1-0.002)^(A2-2031)</f>
        <v>141000</v>
      </c>
      <c r="C2" s="1">
        <f>141000*(1-0.005)^(A2-2031)</f>
        <v>141000</v>
      </c>
      <c r="D2" s="1">
        <f>141000*(1-0.008)^(A2-2031)</f>
        <v>141000</v>
      </c>
      <c r="E2" s="1">
        <f>146520/(1+(146520/54167-1)*EXP(-0.0627*((A2-1948)-1)))</f>
        <v>145073.156242028</v>
      </c>
    </row>
    <row r="3" spans="1:5">
      <c r="A3" s="1">
        <v>2032</v>
      </c>
      <c r="B3" s="1">
        <f t="shared" ref="B3:B21" si="0">141000*(1-0.002)^(A3-2031)</f>
        <v>140718</v>
      </c>
      <c r="C3" s="1">
        <f t="shared" ref="C3:C21" si="1">141000*(1-0.005)^(A3-2031)</f>
        <v>140295</v>
      </c>
      <c r="D3" s="1">
        <f t="shared" ref="D3:D21" si="2">141000*(1-0.008)^(A3-2031)</f>
        <v>139872</v>
      </c>
      <c r="E3" s="1">
        <f t="shared" ref="E3:E21" si="3">146520/(1+(146520/54167-1)*EXP(-0.0627*((A3-1948)-1)))</f>
        <v>145160.271864357</v>
      </c>
    </row>
    <row r="4" spans="1:5">
      <c r="A4" s="1">
        <v>2033</v>
      </c>
      <c r="B4" s="1">
        <f t="shared" si="0"/>
        <v>140436.564</v>
      </c>
      <c r="C4" s="1">
        <f t="shared" si="1"/>
        <v>139593.525</v>
      </c>
      <c r="D4" s="1">
        <f t="shared" si="2"/>
        <v>138753.024</v>
      </c>
      <c r="E4" s="1">
        <f t="shared" si="3"/>
        <v>145242.188386119</v>
      </c>
    </row>
    <row r="5" spans="1:5">
      <c r="A5" s="1">
        <v>2034</v>
      </c>
      <c r="B5" s="1">
        <f t="shared" si="0"/>
        <v>140155.690872</v>
      </c>
      <c r="C5" s="1">
        <f t="shared" si="1"/>
        <v>138895.557375</v>
      </c>
      <c r="D5" s="1">
        <f t="shared" si="2"/>
        <v>137642.999808</v>
      </c>
      <c r="E5" s="1">
        <f t="shared" si="3"/>
        <v>145319.210688561</v>
      </c>
    </row>
    <row r="6" spans="1:5">
      <c r="A6" s="1">
        <v>2035</v>
      </c>
      <c r="B6" s="1">
        <f t="shared" si="0"/>
        <v>139875.379490256</v>
      </c>
      <c r="C6" s="1">
        <f t="shared" si="1"/>
        <v>138201.079588125</v>
      </c>
      <c r="D6" s="1">
        <f t="shared" si="2"/>
        <v>136541.855809536</v>
      </c>
      <c r="E6" s="1">
        <f t="shared" si="3"/>
        <v>145391.626407019</v>
      </c>
    </row>
    <row r="7" spans="1:5">
      <c r="A7" s="1">
        <v>2036</v>
      </c>
      <c r="B7" s="1">
        <f t="shared" si="0"/>
        <v>139595.628731276</v>
      </c>
      <c r="C7" s="1">
        <f t="shared" si="1"/>
        <v>137510.074190184</v>
      </c>
      <c r="D7" s="1">
        <f t="shared" si="2"/>
        <v>135449.52096306</v>
      </c>
      <c r="E7" s="1">
        <f t="shared" si="3"/>
        <v>145459.706831895</v>
      </c>
    </row>
    <row r="8" spans="1:5">
      <c r="A8" s="1">
        <v>2037</v>
      </c>
      <c r="B8" s="1">
        <f t="shared" si="0"/>
        <v>139316.437473813</v>
      </c>
      <c r="C8" s="1">
        <f t="shared" si="1"/>
        <v>136822.523819233</v>
      </c>
      <c r="D8" s="1">
        <f t="shared" si="2"/>
        <v>134365.924795355</v>
      </c>
      <c r="E8" s="1">
        <f t="shared" si="3"/>
        <v>145523.707771528</v>
      </c>
    </row>
    <row r="9" spans="1:5">
      <c r="A9" s="1">
        <v>2038</v>
      </c>
      <c r="B9" s="1">
        <f t="shared" si="0"/>
        <v>139037.804598865</v>
      </c>
      <c r="C9" s="1">
        <f t="shared" si="1"/>
        <v>136138.411200137</v>
      </c>
      <c r="D9" s="1">
        <f t="shared" si="2"/>
        <v>133290.997396992</v>
      </c>
      <c r="E9" s="1">
        <f t="shared" si="3"/>
        <v>145583.870377437</v>
      </c>
    </row>
    <row r="10" spans="1:5">
      <c r="A10" s="1">
        <v>2039</v>
      </c>
      <c r="B10" s="1">
        <f t="shared" si="0"/>
        <v>138759.728989668</v>
      </c>
      <c r="C10" s="1">
        <f t="shared" si="1"/>
        <v>135457.719144137</v>
      </c>
      <c r="D10" s="1">
        <f t="shared" si="2"/>
        <v>132224.669417816</v>
      </c>
      <c r="E10" s="1">
        <f t="shared" si="3"/>
        <v>145640.421932555</v>
      </c>
    </row>
    <row r="11" spans="1:5">
      <c r="A11" s="1">
        <v>2040</v>
      </c>
      <c r="B11" s="1">
        <f t="shared" si="0"/>
        <v>138482.209531688</v>
      </c>
      <c r="C11" s="1">
        <f t="shared" si="1"/>
        <v>134780.430548416</v>
      </c>
      <c r="D11" s="1">
        <f t="shared" si="2"/>
        <v>131166.872062474</v>
      </c>
      <c r="E11" s="1">
        <f t="shared" si="3"/>
        <v>145693.576603253</v>
      </c>
    </row>
    <row r="12" spans="1:5">
      <c r="A12" s="1">
        <v>2041</v>
      </c>
      <c r="B12" s="1">
        <f t="shared" si="0"/>
        <v>138205.245112625</v>
      </c>
      <c r="C12" s="1">
        <f t="shared" si="1"/>
        <v>134106.528395674</v>
      </c>
      <c r="D12" s="1">
        <f t="shared" si="2"/>
        <v>130117.537085974</v>
      </c>
      <c r="E12" s="1">
        <f t="shared" si="3"/>
        <v>145743.536156029</v>
      </c>
    </row>
    <row r="13" spans="1:5">
      <c r="A13" s="1">
        <v>2042</v>
      </c>
      <c r="B13" s="1">
        <f t="shared" si="0"/>
        <v>137928.8346224</v>
      </c>
      <c r="C13" s="1">
        <f t="shared" si="1"/>
        <v>133435.995753695</v>
      </c>
      <c r="D13" s="1">
        <f t="shared" si="2"/>
        <v>129076.596789286</v>
      </c>
      <c r="E13" s="1">
        <f t="shared" si="3"/>
        <v>145790.490639858</v>
      </c>
    </row>
    <row r="14" spans="1:5">
      <c r="A14" s="1">
        <v>2043</v>
      </c>
      <c r="B14" s="1">
        <f t="shared" si="0"/>
        <v>137652.976953155</v>
      </c>
      <c r="C14" s="1">
        <f t="shared" si="1"/>
        <v>132768.815774927</v>
      </c>
      <c r="D14" s="1">
        <f t="shared" si="2"/>
        <v>128043.984014972</v>
      </c>
      <c r="E14" s="1">
        <f t="shared" si="3"/>
        <v>145834.619035231</v>
      </c>
    </row>
    <row r="15" spans="1:5">
      <c r="A15" s="1">
        <v>2044</v>
      </c>
      <c r="B15" s="1">
        <f t="shared" si="0"/>
        <v>137377.670999249</v>
      </c>
      <c r="C15" s="1">
        <f t="shared" si="1"/>
        <v>132104.971696052</v>
      </c>
      <c r="D15" s="1">
        <f t="shared" si="2"/>
        <v>127019.632142852</v>
      </c>
      <c r="E15" s="1">
        <f t="shared" si="3"/>
        <v>145876.089870998</v>
      </c>
    </row>
    <row r="16" spans="1:5">
      <c r="A16" s="1">
        <v>2045</v>
      </c>
      <c r="B16" s="1">
        <f t="shared" si="0"/>
        <v>137102.91565725</v>
      </c>
      <c r="C16" s="1">
        <f t="shared" si="1"/>
        <v>131444.446837572</v>
      </c>
      <c r="D16" s="1">
        <f t="shared" si="2"/>
        <v>126003.475085709</v>
      </c>
      <c r="E16" s="1">
        <f t="shared" si="3"/>
        <v>145915.06181015</v>
      </c>
    </row>
    <row r="17" spans="1:5">
      <c r="A17" s="1">
        <v>2046</v>
      </c>
      <c r="B17" s="1">
        <f t="shared" si="0"/>
        <v>136828.709825936</v>
      </c>
      <c r="C17" s="1">
        <f t="shared" si="1"/>
        <v>130787.224603384</v>
      </c>
      <c r="D17" s="1">
        <f t="shared" si="2"/>
        <v>124995.447285024</v>
      </c>
      <c r="E17" s="1">
        <f t="shared" si="3"/>
        <v>145951.684205689</v>
      </c>
    </row>
    <row r="18" spans="1:5">
      <c r="A18" s="1">
        <v>2047</v>
      </c>
      <c r="B18" s="1">
        <f t="shared" si="0"/>
        <v>136555.052406284</v>
      </c>
      <c r="C18" s="1">
        <f t="shared" si="1"/>
        <v>130133.288480367</v>
      </c>
      <c r="D18" s="1">
        <f t="shared" si="2"/>
        <v>123995.483706744</v>
      </c>
      <c r="E18" s="1">
        <f t="shared" si="3"/>
        <v>145986.097627758</v>
      </c>
    </row>
    <row r="19" spans="1:5">
      <c r="A19" s="1">
        <v>2048</v>
      </c>
      <c r="B19" s="1">
        <f t="shared" si="0"/>
        <v>136281.942301471</v>
      </c>
      <c r="C19" s="1">
        <f t="shared" si="1"/>
        <v>129482.622037965</v>
      </c>
      <c r="D19" s="1">
        <f t="shared" si="2"/>
        <v>123003.51983709</v>
      </c>
      <c r="E19" s="1">
        <f t="shared" si="3"/>
        <v>146018.434363207</v>
      </c>
    </row>
    <row r="20" spans="1:5">
      <c r="A20" s="1">
        <v>2049</v>
      </c>
      <c r="B20" s="1">
        <f t="shared" si="0"/>
        <v>136009.378416868</v>
      </c>
      <c r="C20" s="1">
        <f t="shared" si="1"/>
        <v>128835.208927776</v>
      </c>
      <c r="D20" s="1">
        <f t="shared" si="2"/>
        <v>122019.491678393</v>
      </c>
      <c r="E20" s="1">
        <f t="shared" si="3"/>
        <v>146048.818888752</v>
      </c>
    </row>
    <row r="21" spans="1:5">
      <c r="A21" s="1">
        <v>2050</v>
      </c>
      <c r="B21" s="1">
        <f t="shared" si="0"/>
        <v>135737.359660034</v>
      </c>
      <c r="C21" s="1">
        <f t="shared" si="1"/>
        <v>128191.032883137</v>
      </c>
      <c r="D21" s="1">
        <f t="shared" si="2"/>
        <v>121043.335744966</v>
      </c>
      <c r="E21" s="1">
        <f t="shared" si="3"/>
        <v>146077.368318883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hainuo</dc:creator>
  <cp:lastModifiedBy>丁俊杰</cp:lastModifiedBy>
  <dcterms:created xsi:type="dcterms:W3CDTF">2026-06-03T08:36:09Z</dcterms:created>
  <dcterms:modified xsi:type="dcterms:W3CDTF">2026-06-03T10:04:56Z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933A2561ABB047B0A14403A6E073B249_11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