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<sst xmlns="http://schemas.openxmlformats.org/spreadsheetml/2006/main" count="8" uniqueCount="8">
  <si>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年份</t>
  </si>
  <si>
    <t>年末总人口（万人）</t>
  </si>
  <si>
    <t>Logistic 拟合人口（万人）</t>
  </si>
  <si>
    <t>线性拟合人口（万人）</t>
  </si>
  <si>
    <t>环境容纳量 K</t>
  </si>
  <si>
    <t>内禀增长率 r</t>
  </si>
  <si>
    <t>初始人口 N₀（1949 年）</t>
  </si>
  <si>
    <t>基准年份序号 t₀（1949 年 t=1）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</si>
</sst>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>
                <a:solidFill>
                  <a:sysClr val="windowText" lastClr="000000"/>
                </a:solidFill>
              </a:rPr>
              <a:t>图 </a:t>
            </a:r>
            <a:r>
              <a:rPr lang="en-US" altLang="zh-CN" sz="2000">
                <a:solidFill>
                  <a:sysClr val="windowText" lastClr="000000"/>
                </a:solidFill>
              </a:rPr>
              <a:t>1</a:t>
            </a:r>
            <a:r>
              <a:rPr sz="2000">
                <a:solidFill>
                  <a:sysClr val="windowText" lastClr="000000"/>
                </a:solidFill>
              </a:rPr>
              <a:t> 训练集实测总人口、线性与 Logistic 模型拟合曲线对比</a:t>
            </a:r>
            <a:endParaRPr sz="20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5844302369312"/>
          <c:y val="0.924691040164779"/>
        </c:manualLayout>
      </c:layout>
      <c:overlay val="0"/>
      <c:spPr>
        <a:noFill/>
        <a:ln>
          <a:noFill/>
        </a:ln>
        <a:effectLst>
          <a:glow rad="101600">
            <a:schemeClr val="tx2">
              <a:alpha val="40000"/>
            </a:schemeClr>
          </a:glow>
        </a:effectLst>
      </c:spPr>
    </c:title>
    <c:autoTitleDeleted val="0"/>
    <c:plotArea>
      <c:layout>
        <c:manualLayout>
          <c:layoutTarget val="inner"/>
          <c:xMode val="edge"/>
          <c:yMode val="edge"/>
          <c:x val="0.0949981195938323"/>
          <c:y val="0.0476313079299691"/>
          <c:w val="0.721474238435502"/>
          <c:h val="0.76086508753862"/>
        </c:manualLayout>
      </c:layout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年末总人口（万人）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Sheet1!$A$2:$A$66</c:f>
              <c:numCache>
                <c:formatCode>0_ </c:formatCode>
                <c:ptCount val="65"/>
                <c:pt idx="0" c:formatCode="0_ ">
                  <c:v>1949</c:v>
                </c:pt>
                <c:pt idx="1" c:formatCode="0_ ">
                  <c:v>1950</c:v>
                </c:pt>
                <c:pt idx="2" c:formatCode="0_ ">
                  <c:v>1951</c:v>
                </c:pt>
                <c:pt idx="3" c:formatCode="0_ ">
                  <c:v>1952</c:v>
                </c:pt>
                <c:pt idx="4" c:formatCode="0_ ">
                  <c:v>1953</c:v>
                </c:pt>
                <c:pt idx="5" c:formatCode="0_ ">
                  <c:v>1954</c:v>
                </c:pt>
                <c:pt idx="6" c:formatCode="0_ ">
                  <c:v>1955</c:v>
                </c:pt>
                <c:pt idx="7" c:formatCode="0_ ">
                  <c:v>1956</c:v>
                </c:pt>
                <c:pt idx="8" c:formatCode="0_ ">
                  <c:v>1957</c:v>
                </c:pt>
                <c:pt idx="9" c:formatCode="0_ ">
                  <c:v>1958</c:v>
                </c:pt>
                <c:pt idx="10" c:formatCode="0_ ">
                  <c:v>1959</c:v>
                </c:pt>
                <c:pt idx="11" c:formatCode="0_ ">
                  <c:v>1960</c:v>
                </c:pt>
                <c:pt idx="12" c:formatCode="0_ ">
                  <c:v>1961</c:v>
                </c:pt>
                <c:pt idx="13" c:formatCode="0_ ">
                  <c:v>1962</c:v>
                </c:pt>
                <c:pt idx="14" c:formatCode="0_ ">
                  <c:v>1963</c:v>
                </c:pt>
                <c:pt idx="15" c:formatCode="0_ ">
                  <c:v>1964</c:v>
                </c:pt>
                <c:pt idx="16" c:formatCode="0_ ">
                  <c:v>1965</c:v>
                </c:pt>
                <c:pt idx="17" c:formatCode="0_ ">
                  <c:v>1966</c:v>
                </c:pt>
                <c:pt idx="18" c:formatCode="0_ ">
                  <c:v>1967</c:v>
                </c:pt>
                <c:pt idx="19" c:formatCode="0_ ">
                  <c:v>1968</c:v>
                </c:pt>
                <c:pt idx="20" c:formatCode="0_ ">
                  <c:v>1969</c:v>
                </c:pt>
                <c:pt idx="21" c:formatCode="0_ ">
                  <c:v>1970</c:v>
                </c:pt>
                <c:pt idx="22" c:formatCode="0_ ">
                  <c:v>1971</c:v>
                </c:pt>
                <c:pt idx="23" c:formatCode="0_ ">
                  <c:v>1972</c:v>
                </c:pt>
                <c:pt idx="24" c:formatCode="0_ ">
                  <c:v>1973</c:v>
                </c:pt>
                <c:pt idx="25" c:formatCode="0_ ">
                  <c:v>1974</c:v>
                </c:pt>
                <c:pt idx="26" c:formatCode="0_ ">
                  <c:v>1975</c:v>
                </c:pt>
                <c:pt idx="27" c:formatCode="0_ ">
                  <c:v>1976</c:v>
                </c:pt>
                <c:pt idx="28" c:formatCode="0_ ">
                  <c:v>1977</c:v>
                </c:pt>
                <c:pt idx="29" c:formatCode="0_ ">
                  <c:v>1978</c:v>
                </c:pt>
                <c:pt idx="30" c:formatCode="0_ ">
                  <c:v>1979</c:v>
                </c:pt>
                <c:pt idx="31" c:formatCode="0_ ">
                  <c:v>1980</c:v>
                </c:pt>
                <c:pt idx="32" c:formatCode="0_ ">
                  <c:v>1981</c:v>
                </c:pt>
                <c:pt idx="33" c:formatCode="0_ ">
                  <c:v>1982</c:v>
                </c:pt>
                <c:pt idx="34" c:formatCode="0_ ">
                  <c:v>1983</c:v>
                </c:pt>
                <c:pt idx="35" c:formatCode="0_ ">
                  <c:v>1984</c:v>
                </c:pt>
                <c:pt idx="36" c:formatCode="0_ ">
                  <c:v>1985</c:v>
                </c:pt>
                <c:pt idx="37" c:formatCode="0_ ">
                  <c:v>1986</c:v>
                </c:pt>
                <c:pt idx="38" c:formatCode="0_ ">
                  <c:v>1987</c:v>
                </c:pt>
                <c:pt idx="39" c:formatCode="0_ ">
                  <c:v>1988</c:v>
                </c:pt>
                <c:pt idx="40" c:formatCode="0_ ">
                  <c:v>1989</c:v>
                </c:pt>
                <c:pt idx="41" c:formatCode="0_ ">
                  <c:v>1990</c:v>
                </c:pt>
                <c:pt idx="42" c:formatCode="0_ ">
                  <c:v>1991</c:v>
                </c:pt>
                <c:pt idx="43" c:formatCode="0_ ">
                  <c:v>1992</c:v>
                </c:pt>
                <c:pt idx="44" c:formatCode="0_ ">
                  <c:v>1993</c:v>
                </c:pt>
                <c:pt idx="45" c:formatCode="0_ ">
                  <c:v>1994</c:v>
                </c:pt>
                <c:pt idx="46" c:formatCode="0_ ">
                  <c:v>1995</c:v>
                </c:pt>
                <c:pt idx="47" c:formatCode="0_ ">
                  <c:v>1996</c:v>
                </c:pt>
                <c:pt idx="48" c:formatCode="0_ ">
                  <c:v>1997</c:v>
                </c:pt>
                <c:pt idx="49" c:formatCode="0_ ">
                  <c:v>1998</c:v>
                </c:pt>
                <c:pt idx="50" c:formatCode="0_ ">
                  <c:v>1999</c:v>
                </c:pt>
                <c:pt idx="51" c:formatCode="0_ ">
                  <c:v>2000</c:v>
                </c:pt>
                <c:pt idx="52" c:formatCode="0_ ">
                  <c:v>2001</c:v>
                </c:pt>
                <c:pt idx="53" c:formatCode="0_ ">
                  <c:v>2002</c:v>
                </c:pt>
                <c:pt idx="54" c:formatCode="0_ ">
                  <c:v>2003</c:v>
                </c:pt>
                <c:pt idx="55" c:formatCode="0_ ">
                  <c:v>2004</c:v>
                </c:pt>
                <c:pt idx="56" c:formatCode="0_ ">
                  <c:v>2005</c:v>
                </c:pt>
                <c:pt idx="57" c:formatCode="0_ ">
                  <c:v>2006</c:v>
                </c:pt>
                <c:pt idx="58" c:formatCode="0_ ">
                  <c:v>2007</c:v>
                </c:pt>
                <c:pt idx="59" c:formatCode="0_ ">
                  <c:v>2008</c:v>
                </c:pt>
                <c:pt idx="60" c:formatCode="0_ ">
                  <c:v>2009</c:v>
                </c:pt>
                <c:pt idx="61" c:formatCode="0_ ">
                  <c:v>2010</c:v>
                </c:pt>
                <c:pt idx="62" c:formatCode="0_ ">
                  <c:v>2011</c:v>
                </c:pt>
                <c:pt idx="63" c:formatCode="0_ ">
                  <c:v>2012</c:v>
                </c:pt>
                <c:pt idx="64" c:formatCode="0_ ">
                  <c:v>2013</c:v>
                </c:pt>
              </c:numCache>
            </c:numRef>
          </c:cat>
          <c:val>
            <c:numRef>
              <c:f>Sheet1!$B$2:$B$66</c:f>
              <c:numCache>
                <c:formatCode>0_ </c:formatCode>
                <c:ptCount val="65"/>
                <c:pt idx="0">
                  <c:v>54167</c:v>
                </c:pt>
                <c:pt idx="1">
                  <c:v>55196</c:v>
                </c:pt>
                <c:pt idx="2">
                  <c:v>56300</c:v>
                </c:pt>
                <c:pt idx="3">
                  <c:v>57482</c:v>
                </c:pt>
                <c:pt idx="4">
                  <c:v>58796</c:v>
                </c:pt>
                <c:pt idx="5">
                  <c:v>60266</c:v>
                </c:pt>
                <c:pt idx="6">
                  <c:v>61465</c:v>
                </c:pt>
                <c:pt idx="7">
                  <c:v>62828</c:v>
                </c:pt>
                <c:pt idx="8">
                  <c:v>64653</c:v>
                </c:pt>
                <c:pt idx="9">
                  <c:v>65994</c:v>
                </c:pt>
                <c:pt idx="10">
                  <c:v>67207</c:v>
                </c:pt>
                <c:pt idx="11">
                  <c:v>66207</c:v>
                </c:pt>
                <c:pt idx="12">
                  <c:v>65859</c:v>
                </c:pt>
                <c:pt idx="13">
                  <c:v>67295</c:v>
                </c:pt>
                <c:pt idx="14">
                  <c:v>69172</c:v>
                </c:pt>
                <c:pt idx="15">
                  <c:v>70499</c:v>
                </c:pt>
                <c:pt idx="16">
                  <c:v>72538</c:v>
                </c:pt>
                <c:pt idx="17">
                  <c:v>74542</c:v>
                </c:pt>
                <c:pt idx="18">
                  <c:v>76368</c:v>
                </c:pt>
                <c:pt idx="19">
                  <c:v>78534</c:v>
                </c:pt>
                <c:pt idx="20">
                  <c:v>80671</c:v>
                </c:pt>
                <c:pt idx="21">
                  <c:v>82992</c:v>
                </c:pt>
                <c:pt idx="22">
                  <c:v>85229</c:v>
                </c:pt>
                <c:pt idx="23">
                  <c:v>87177</c:v>
                </c:pt>
                <c:pt idx="24">
                  <c:v>88973</c:v>
                </c:pt>
                <c:pt idx="25">
                  <c:v>90859</c:v>
                </c:pt>
                <c:pt idx="26">
                  <c:v>92420</c:v>
                </c:pt>
                <c:pt idx="27">
                  <c:v>93717</c:v>
                </c:pt>
                <c:pt idx="28">
                  <c:v>94974</c:v>
                </c:pt>
                <c:pt idx="29">
                  <c:v>96259</c:v>
                </c:pt>
                <c:pt idx="30">
                  <c:v>97542</c:v>
                </c:pt>
                <c:pt idx="31">
                  <c:v>98705</c:v>
                </c:pt>
                <c:pt idx="32">
                  <c:v>100072</c:v>
                </c:pt>
                <c:pt idx="33">
                  <c:v>101654</c:v>
                </c:pt>
                <c:pt idx="34">
                  <c:v>103008</c:v>
                </c:pt>
                <c:pt idx="35">
                  <c:v>104357</c:v>
                </c:pt>
                <c:pt idx="36">
                  <c:v>105851</c:v>
                </c:pt>
                <c:pt idx="37">
                  <c:v>107507</c:v>
                </c:pt>
                <c:pt idx="38">
                  <c:v>109300</c:v>
                </c:pt>
                <c:pt idx="39">
                  <c:v>111026</c:v>
                </c:pt>
                <c:pt idx="40">
                  <c:v>112704</c:v>
                </c:pt>
                <c:pt idx="41">
                  <c:v>114333</c:v>
                </c:pt>
                <c:pt idx="42">
                  <c:v>115823</c:v>
                </c:pt>
                <c:pt idx="43">
                  <c:v>117171</c:v>
                </c:pt>
                <c:pt idx="44">
                  <c:v>118517</c:v>
                </c:pt>
                <c:pt idx="45">
                  <c:v>119850</c:v>
                </c:pt>
                <c:pt idx="46">
                  <c:v>120778</c:v>
                </c:pt>
                <c:pt idx="47">
                  <c:v>122389</c:v>
                </c:pt>
                <c:pt idx="48">
                  <c:v>123626</c:v>
                </c:pt>
                <c:pt idx="49">
                  <c:v>124761</c:v>
                </c:pt>
                <c:pt idx="50">
                  <c:v>125786</c:v>
                </c:pt>
                <c:pt idx="51">
                  <c:v>126743</c:v>
                </c:pt>
                <c:pt idx="52">
                  <c:v>127627</c:v>
                </c:pt>
                <c:pt idx="53">
                  <c:v>128453</c:v>
                </c:pt>
                <c:pt idx="54">
                  <c:v>129227</c:v>
                </c:pt>
                <c:pt idx="55">
                  <c:v>129988</c:v>
                </c:pt>
                <c:pt idx="56">
                  <c:v>130756</c:v>
                </c:pt>
                <c:pt idx="57">
                  <c:v>131448</c:v>
                </c:pt>
                <c:pt idx="58">
                  <c:v>132129</c:v>
                </c:pt>
                <c:pt idx="59">
                  <c:v>132802</c:v>
                </c:pt>
                <c:pt idx="60">
                  <c:v>133450</c:v>
                </c:pt>
                <c:pt idx="61">
                  <c:v>134091</c:v>
                </c:pt>
                <c:pt idx="62">
                  <c:v>134916</c:v>
                </c:pt>
                <c:pt idx="63">
                  <c:v>135792</c:v>
                </c:pt>
                <c:pt idx="64">
                  <c:v>136635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Logistic 拟合人口（万人）</c:v>
                </c:pt>
              </c:strCache>
            </c:strRef>
          </c:tx>
          <c:spPr>
            <a:ln w="28575" cap="rnd" cmpd="thickThin">
              <a:solidFill>
                <a:schemeClr val="accent6"/>
              </a:solidFill>
              <a:prstDash val="sysDot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Sheet1!$A$2:$A$66</c:f>
              <c:numCache>
                <c:formatCode>0_ </c:formatCode>
                <c:ptCount val="65"/>
                <c:pt idx="0" c:formatCode="0_ ">
                  <c:v>1949</c:v>
                </c:pt>
                <c:pt idx="1" c:formatCode="0_ ">
                  <c:v>1950</c:v>
                </c:pt>
                <c:pt idx="2" c:formatCode="0_ ">
                  <c:v>1951</c:v>
                </c:pt>
                <c:pt idx="3" c:formatCode="0_ ">
                  <c:v>1952</c:v>
                </c:pt>
                <c:pt idx="4" c:formatCode="0_ ">
                  <c:v>1953</c:v>
                </c:pt>
                <c:pt idx="5" c:formatCode="0_ ">
                  <c:v>1954</c:v>
                </c:pt>
                <c:pt idx="6" c:formatCode="0_ ">
                  <c:v>1955</c:v>
                </c:pt>
                <c:pt idx="7" c:formatCode="0_ ">
                  <c:v>1956</c:v>
                </c:pt>
                <c:pt idx="8" c:formatCode="0_ ">
                  <c:v>1957</c:v>
                </c:pt>
                <c:pt idx="9" c:formatCode="0_ ">
                  <c:v>1958</c:v>
                </c:pt>
                <c:pt idx="10" c:formatCode="0_ ">
                  <c:v>1959</c:v>
                </c:pt>
                <c:pt idx="11" c:formatCode="0_ ">
                  <c:v>1960</c:v>
                </c:pt>
                <c:pt idx="12" c:formatCode="0_ ">
                  <c:v>1961</c:v>
                </c:pt>
                <c:pt idx="13" c:formatCode="0_ ">
                  <c:v>1962</c:v>
                </c:pt>
                <c:pt idx="14" c:formatCode="0_ ">
                  <c:v>1963</c:v>
                </c:pt>
                <c:pt idx="15" c:formatCode="0_ ">
                  <c:v>1964</c:v>
                </c:pt>
                <c:pt idx="16" c:formatCode="0_ ">
                  <c:v>1965</c:v>
                </c:pt>
                <c:pt idx="17" c:formatCode="0_ ">
                  <c:v>1966</c:v>
                </c:pt>
                <c:pt idx="18" c:formatCode="0_ ">
                  <c:v>1967</c:v>
                </c:pt>
                <c:pt idx="19" c:formatCode="0_ ">
                  <c:v>1968</c:v>
                </c:pt>
                <c:pt idx="20" c:formatCode="0_ ">
                  <c:v>1969</c:v>
                </c:pt>
                <c:pt idx="21" c:formatCode="0_ ">
                  <c:v>1970</c:v>
                </c:pt>
                <c:pt idx="22" c:formatCode="0_ ">
                  <c:v>1971</c:v>
                </c:pt>
                <c:pt idx="23" c:formatCode="0_ ">
                  <c:v>1972</c:v>
                </c:pt>
                <c:pt idx="24" c:formatCode="0_ ">
                  <c:v>1973</c:v>
                </c:pt>
                <c:pt idx="25" c:formatCode="0_ ">
                  <c:v>1974</c:v>
                </c:pt>
                <c:pt idx="26" c:formatCode="0_ ">
                  <c:v>1975</c:v>
                </c:pt>
                <c:pt idx="27" c:formatCode="0_ ">
                  <c:v>1976</c:v>
                </c:pt>
                <c:pt idx="28" c:formatCode="0_ ">
                  <c:v>1977</c:v>
                </c:pt>
                <c:pt idx="29" c:formatCode="0_ ">
                  <c:v>1978</c:v>
                </c:pt>
                <c:pt idx="30" c:formatCode="0_ ">
                  <c:v>1979</c:v>
                </c:pt>
                <c:pt idx="31" c:formatCode="0_ ">
                  <c:v>1980</c:v>
                </c:pt>
                <c:pt idx="32" c:formatCode="0_ ">
                  <c:v>1981</c:v>
                </c:pt>
                <c:pt idx="33" c:formatCode="0_ ">
                  <c:v>1982</c:v>
                </c:pt>
                <c:pt idx="34" c:formatCode="0_ ">
                  <c:v>1983</c:v>
                </c:pt>
                <c:pt idx="35" c:formatCode="0_ ">
                  <c:v>1984</c:v>
                </c:pt>
                <c:pt idx="36" c:formatCode="0_ ">
                  <c:v>1985</c:v>
                </c:pt>
                <c:pt idx="37" c:formatCode="0_ ">
                  <c:v>1986</c:v>
                </c:pt>
                <c:pt idx="38" c:formatCode="0_ ">
                  <c:v>1987</c:v>
                </c:pt>
                <c:pt idx="39" c:formatCode="0_ ">
                  <c:v>1988</c:v>
                </c:pt>
                <c:pt idx="40" c:formatCode="0_ ">
                  <c:v>1989</c:v>
                </c:pt>
                <c:pt idx="41" c:formatCode="0_ ">
                  <c:v>1990</c:v>
                </c:pt>
                <c:pt idx="42" c:formatCode="0_ ">
                  <c:v>1991</c:v>
                </c:pt>
                <c:pt idx="43" c:formatCode="0_ ">
                  <c:v>1992</c:v>
                </c:pt>
                <c:pt idx="44" c:formatCode="0_ ">
                  <c:v>1993</c:v>
                </c:pt>
                <c:pt idx="45" c:formatCode="0_ ">
                  <c:v>1994</c:v>
                </c:pt>
                <c:pt idx="46" c:formatCode="0_ ">
                  <c:v>1995</c:v>
                </c:pt>
                <c:pt idx="47" c:formatCode="0_ ">
                  <c:v>1996</c:v>
                </c:pt>
                <c:pt idx="48" c:formatCode="0_ ">
                  <c:v>1997</c:v>
                </c:pt>
                <c:pt idx="49" c:formatCode="0_ ">
                  <c:v>1998</c:v>
                </c:pt>
                <c:pt idx="50" c:formatCode="0_ ">
                  <c:v>1999</c:v>
                </c:pt>
                <c:pt idx="51" c:formatCode="0_ ">
                  <c:v>2000</c:v>
                </c:pt>
                <c:pt idx="52" c:formatCode="0_ ">
                  <c:v>2001</c:v>
                </c:pt>
                <c:pt idx="53" c:formatCode="0_ ">
                  <c:v>2002</c:v>
                </c:pt>
                <c:pt idx="54" c:formatCode="0_ ">
                  <c:v>2003</c:v>
                </c:pt>
                <c:pt idx="55" c:formatCode="0_ ">
                  <c:v>2004</c:v>
                </c:pt>
                <c:pt idx="56" c:formatCode="0_ ">
                  <c:v>2005</c:v>
                </c:pt>
                <c:pt idx="57" c:formatCode="0_ ">
                  <c:v>2006</c:v>
                </c:pt>
                <c:pt idx="58" c:formatCode="0_ ">
                  <c:v>2007</c:v>
                </c:pt>
                <c:pt idx="59" c:formatCode="0_ ">
                  <c:v>2008</c:v>
                </c:pt>
                <c:pt idx="60" c:formatCode="0_ ">
                  <c:v>2009</c:v>
                </c:pt>
                <c:pt idx="61" c:formatCode="0_ ">
                  <c:v>2010</c:v>
                </c:pt>
                <c:pt idx="62" c:formatCode="0_ ">
                  <c:v>2011</c:v>
                </c:pt>
                <c:pt idx="63" c:formatCode="0_ ">
                  <c:v>2012</c:v>
                </c:pt>
                <c:pt idx="64" c:formatCode="0_ ">
                  <c:v>2013</c:v>
                </c:pt>
              </c:numCache>
            </c:numRef>
          </c:cat>
          <c:val>
            <c:numRef>
              <c:f>Sheet1!$C$2:$C$66</c:f>
              <c:numCache>
                <c:formatCode>0_ </c:formatCode>
                <c:ptCount val="65"/>
                <c:pt idx="0">
                  <c:v>54167</c:v>
                </c:pt>
                <c:pt idx="1">
                  <c:v>56324.6249307647</c:v>
                </c:pt>
                <c:pt idx="2">
                  <c:v>58513.740898239</c:v>
                </c:pt>
                <c:pt idx="3">
                  <c:v>60730.6512677162</c:v>
                </c:pt>
                <c:pt idx="4">
                  <c:v>62971.4545473337</c:v>
                </c:pt>
                <c:pt idx="5">
                  <c:v>65232.069984746</c:v>
                </c:pt>
                <c:pt idx="6">
                  <c:v>67508.265968799</c:v>
                </c:pt>
                <c:pt idx="7">
                  <c:v>69795.690840512</c:v>
                </c:pt>
                <c:pt idx="8">
                  <c:v>72089.9056525776</c:v>
                </c:pt>
                <c:pt idx="9">
                  <c:v>74386.4183628335</c:v>
                </c:pt>
                <c:pt idx="10">
                  <c:v>76680.7189069836</c:v>
                </c:pt>
                <c:pt idx="11">
                  <c:v>78968.3145709645</c:v>
                </c:pt>
                <c:pt idx="12">
                  <c:v>81244.765074827</c:v>
                </c:pt>
                <c:pt idx="13">
                  <c:v>83505.7167882115</c:v>
                </c:pt>
                <c:pt idx="14">
                  <c:v>85746.9355220751</c:v>
                </c:pt>
                <c:pt idx="15">
                  <c:v>87964.3373812264</c:v>
                </c:pt>
                <c:pt idx="16">
                  <c:v>90154.0172157413</c:v>
                </c:pt>
                <c:pt idx="17">
                  <c:v>92312.2742742399</c:v>
                </c:pt>
                <c:pt idx="18">
                  <c:v>94435.6347356555</c:v>
                </c:pt>
                <c:pt idx="19">
                  <c:v>96520.8708756332</c:v>
                </c:pt>
                <c:pt idx="20">
                  <c:v>98565.0167060562</c:v>
                </c:pt>
                <c:pt idx="21">
                  <c:v>100565.380008477</c:v>
                </c:pt>
                <c:pt idx="22">
                  <c:v>102519.550761675</c:v>
                </c:pt>
                <c:pt idx="23">
                  <c:v>104425.406037769</c:v>
                </c:pt>
                <c:pt idx="24">
                  <c:v>106281.111508185</c:v>
                </c:pt>
                <c:pt idx="25">
                  <c:v>108085.119758875</c:v>
                </c:pt>
                <c:pt idx="26">
                  <c:v>109836.165662293</c:v>
                </c:pt>
                <c:pt idx="27">
                  <c:v>111533.259091286</c:v>
                </c:pt>
                <c:pt idx="28">
                  <c:v>113175.67528707</c:v>
                </c:pt>
                <c:pt idx="29">
                  <c:v>114762.94321017</c:v>
                </c:pt>
                <c:pt idx="30">
                  <c:v>116294.832210212</c:v>
                </c:pt>
                <c:pt idx="31">
                  <c:v>117771.337348674</c:v>
                </c:pt>
                <c:pt idx="32">
                  <c:v>119192.663699314</c:v>
                </c:pt>
                <c:pt idx="33">
                  <c:v>120559.20993513</c:v>
                </c:pt>
                <c:pt idx="34">
                  <c:v>121871.55148972</c:v>
                </c:pt>
                <c:pt idx="35">
                  <c:v>123130.423556042</c:v>
                </c:pt>
                <c:pt idx="36">
                  <c:v>124336.704158107</c:v>
                </c:pt>
                <c:pt idx="37">
                  <c:v>125491.397502061</c:v>
                </c:pt>
                <c:pt idx="38">
                  <c:v>126595.617783565</c:v>
                </c:pt>
                <c:pt idx="39">
                  <c:v>127650.573599146</c:v>
                </c:pt>
                <c:pt idx="40">
                  <c:v>128657.553080936</c:v>
                </c:pt>
                <c:pt idx="41">
                  <c:v>129617.909847597</c:v>
                </c:pt>
                <c:pt idx="42">
                  <c:v>130533.049839534</c:v>
                </c:pt>
                <c:pt idx="43">
                  <c:v>131404.419084158</c:v>
                </c:pt>
                <c:pt idx="44">
                  <c:v>132233.492416963</c:v>
                </c:pt>
                <c:pt idx="45">
                  <c:v>133021.763166782</c:v>
                </c:pt>
                <c:pt idx="46">
                  <c:v>133770.733798603</c:v>
                </c:pt>
                <c:pt idx="47">
                  <c:v>134481.907494828</c:v>
                </c:pt>
                <c:pt idx="48">
                  <c:v>135156.780645553</c:v>
                </c:pt>
                <c:pt idx="49">
                  <c:v>135796.836210342</c:v>
                </c:pt>
                <c:pt idx="50">
                  <c:v>136403.537907715</c:v>
                </c:pt>
                <c:pt idx="51">
                  <c:v>136978.325184081</c:v>
                </c:pt>
                <c:pt idx="52">
                  <c:v>137522.608910832</c:v>
                </c:pt>
                <c:pt idx="53">
                  <c:v>138037.767756632</c:v>
                </c:pt>
                <c:pt idx="54">
                  <c:v>138525.14518134</c:v>
                </c:pt>
                <c:pt idx="55">
                  <c:v>138986.046998338</c:v>
                </c:pt>
                <c:pt idx="56">
                  <c:v>139421.739453129</c:v>
                </c:pt>
                <c:pt idx="57">
                  <c:v>139833.447767729</c:v>
                </c:pt>
                <c:pt idx="58">
                  <c:v>140222.355102552</c:v>
                </c:pt>
                <c:pt idx="59">
                  <c:v>140589.601889915</c:v>
                </c:pt>
                <c:pt idx="60">
                  <c:v>140936.285496051</c:v>
                </c:pt>
                <c:pt idx="61">
                  <c:v>141263.460171344</c:v>
                </c:pt>
                <c:pt idx="62">
                  <c:v>141572.13725144</c:v>
                </c:pt>
                <c:pt idx="63">
                  <c:v>141863.285574827</c:v>
                </c:pt>
                <c:pt idx="64">
                  <c:v>142137.832085372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线性拟合人口（万人）</c:v>
                </c:pt>
              </c:strCache>
            </c:strRef>
          </c:tx>
          <c:spPr>
            <a:ln w="12700" cap="rnd" cmpd="sng">
              <a:solidFill>
                <a:schemeClr val="accent2">
                  <a:lumMod val="60000"/>
                </a:schemeClr>
              </a:solidFill>
              <a:prstDash val="dash"/>
              <a:round/>
            </a:ln>
            <a:effectLst/>
            <a:sp3d contourW="12700"/>
          </c:spPr>
          <c:marker>
            <c:symbol val="none"/>
          </c:marker>
          <c:dLbls>
            <c:delete val="1"/>
          </c:dLbls>
          <c:cat>
            <c:numRef>
              <c:f>Sheet1!$A$2:$A$66</c:f>
              <c:numCache>
                <c:formatCode>0_ </c:formatCode>
                <c:ptCount val="65"/>
                <c:pt idx="0" c:formatCode="0_ ">
                  <c:v>1949</c:v>
                </c:pt>
                <c:pt idx="1" c:formatCode="0_ ">
                  <c:v>1950</c:v>
                </c:pt>
                <c:pt idx="2" c:formatCode="0_ ">
                  <c:v>1951</c:v>
                </c:pt>
                <c:pt idx="3" c:formatCode="0_ ">
                  <c:v>1952</c:v>
                </c:pt>
                <c:pt idx="4" c:formatCode="0_ ">
                  <c:v>1953</c:v>
                </c:pt>
                <c:pt idx="5" c:formatCode="0_ ">
                  <c:v>1954</c:v>
                </c:pt>
                <c:pt idx="6" c:formatCode="0_ ">
                  <c:v>1955</c:v>
                </c:pt>
                <c:pt idx="7" c:formatCode="0_ ">
                  <c:v>1956</c:v>
                </c:pt>
                <c:pt idx="8" c:formatCode="0_ ">
                  <c:v>1957</c:v>
                </c:pt>
                <c:pt idx="9" c:formatCode="0_ ">
                  <c:v>1958</c:v>
                </c:pt>
                <c:pt idx="10" c:formatCode="0_ ">
                  <c:v>1959</c:v>
                </c:pt>
                <c:pt idx="11" c:formatCode="0_ ">
                  <c:v>1960</c:v>
                </c:pt>
                <c:pt idx="12" c:formatCode="0_ ">
                  <c:v>1961</c:v>
                </c:pt>
                <c:pt idx="13" c:formatCode="0_ ">
                  <c:v>1962</c:v>
                </c:pt>
                <c:pt idx="14" c:formatCode="0_ ">
                  <c:v>1963</c:v>
                </c:pt>
                <c:pt idx="15" c:formatCode="0_ ">
                  <c:v>1964</c:v>
                </c:pt>
                <c:pt idx="16" c:formatCode="0_ ">
                  <c:v>1965</c:v>
                </c:pt>
                <c:pt idx="17" c:formatCode="0_ ">
                  <c:v>1966</c:v>
                </c:pt>
                <c:pt idx="18" c:formatCode="0_ ">
                  <c:v>1967</c:v>
                </c:pt>
                <c:pt idx="19" c:formatCode="0_ ">
                  <c:v>1968</c:v>
                </c:pt>
                <c:pt idx="20" c:formatCode="0_ ">
                  <c:v>1969</c:v>
                </c:pt>
                <c:pt idx="21" c:formatCode="0_ ">
                  <c:v>1970</c:v>
                </c:pt>
                <c:pt idx="22" c:formatCode="0_ ">
                  <c:v>1971</c:v>
                </c:pt>
                <c:pt idx="23" c:formatCode="0_ ">
                  <c:v>1972</c:v>
                </c:pt>
                <c:pt idx="24" c:formatCode="0_ ">
                  <c:v>1973</c:v>
                </c:pt>
                <c:pt idx="25" c:formatCode="0_ ">
                  <c:v>1974</c:v>
                </c:pt>
                <c:pt idx="26" c:formatCode="0_ ">
                  <c:v>1975</c:v>
                </c:pt>
                <c:pt idx="27" c:formatCode="0_ ">
                  <c:v>1976</c:v>
                </c:pt>
                <c:pt idx="28" c:formatCode="0_ ">
                  <c:v>1977</c:v>
                </c:pt>
                <c:pt idx="29" c:formatCode="0_ ">
                  <c:v>1978</c:v>
                </c:pt>
                <c:pt idx="30" c:formatCode="0_ ">
                  <c:v>1979</c:v>
                </c:pt>
                <c:pt idx="31" c:formatCode="0_ ">
                  <c:v>1980</c:v>
                </c:pt>
                <c:pt idx="32" c:formatCode="0_ ">
                  <c:v>1981</c:v>
                </c:pt>
                <c:pt idx="33" c:formatCode="0_ ">
                  <c:v>1982</c:v>
                </c:pt>
                <c:pt idx="34" c:formatCode="0_ ">
                  <c:v>1983</c:v>
                </c:pt>
                <c:pt idx="35" c:formatCode="0_ ">
                  <c:v>1984</c:v>
                </c:pt>
                <c:pt idx="36" c:formatCode="0_ ">
                  <c:v>1985</c:v>
                </c:pt>
                <c:pt idx="37" c:formatCode="0_ ">
                  <c:v>1986</c:v>
                </c:pt>
                <c:pt idx="38" c:formatCode="0_ ">
                  <c:v>1987</c:v>
                </c:pt>
                <c:pt idx="39" c:formatCode="0_ ">
                  <c:v>1988</c:v>
                </c:pt>
                <c:pt idx="40" c:formatCode="0_ ">
                  <c:v>1989</c:v>
                </c:pt>
                <c:pt idx="41" c:formatCode="0_ ">
                  <c:v>1990</c:v>
                </c:pt>
                <c:pt idx="42" c:formatCode="0_ ">
                  <c:v>1991</c:v>
                </c:pt>
                <c:pt idx="43" c:formatCode="0_ ">
                  <c:v>1992</c:v>
                </c:pt>
                <c:pt idx="44" c:formatCode="0_ ">
                  <c:v>1993</c:v>
                </c:pt>
                <c:pt idx="45" c:formatCode="0_ ">
                  <c:v>1994</c:v>
                </c:pt>
                <c:pt idx="46" c:formatCode="0_ ">
                  <c:v>1995</c:v>
                </c:pt>
                <c:pt idx="47" c:formatCode="0_ ">
                  <c:v>1996</c:v>
                </c:pt>
                <c:pt idx="48" c:formatCode="0_ ">
                  <c:v>1997</c:v>
                </c:pt>
                <c:pt idx="49" c:formatCode="0_ ">
                  <c:v>1998</c:v>
                </c:pt>
                <c:pt idx="50" c:formatCode="0_ ">
                  <c:v>1999</c:v>
                </c:pt>
                <c:pt idx="51" c:formatCode="0_ ">
                  <c:v>2000</c:v>
                </c:pt>
                <c:pt idx="52" c:formatCode="0_ ">
                  <c:v>2001</c:v>
                </c:pt>
                <c:pt idx="53" c:formatCode="0_ ">
                  <c:v>2002</c:v>
                </c:pt>
                <c:pt idx="54" c:formatCode="0_ ">
                  <c:v>2003</c:v>
                </c:pt>
                <c:pt idx="55" c:formatCode="0_ ">
                  <c:v>2004</c:v>
                </c:pt>
                <c:pt idx="56" c:formatCode="0_ ">
                  <c:v>2005</c:v>
                </c:pt>
                <c:pt idx="57" c:formatCode="0_ ">
                  <c:v>2006</c:v>
                </c:pt>
                <c:pt idx="58" c:formatCode="0_ ">
                  <c:v>2007</c:v>
                </c:pt>
                <c:pt idx="59" c:formatCode="0_ ">
                  <c:v>2008</c:v>
                </c:pt>
                <c:pt idx="60" c:formatCode="0_ ">
                  <c:v>2009</c:v>
                </c:pt>
                <c:pt idx="61" c:formatCode="0_ ">
                  <c:v>2010</c:v>
                </c:pt>
                <c:pt idx="62" c:formatCode="0_ ">
                  <c:v>2011</c:v>
                </c:pt>
                <c:pt idx="63" c:formatCode="0_ ">
                  <c:v>2012</c:v>
                </c:pt>
                <c:pt idx="64" c:formatCode="0_ ">
                  <c:v>2013</c:v>
                </c:pt>
              </c:numCache>
            </c:numRef>
          </c:cat>
          <c:val>
            <c:numRef>
              <c:f>Sheet1!$D$2:$D$66</c:f>
              <c:numCache>
                <c:formatCode>0_ </c:formatCode>
                <c:ptCount val="65"/>
                <c:pt idx="0">
                  <c:v>53223</c:v>
                </c:pt>
                <c:pt idx="1">
                  <c:v>54335.6</c:v>
                </c:pt>
                <c:pt idx="2">
                  <c:v>55448.2</c:v>
                </c:pt>
                <c:pt idx="3">
                  <c:v>56560.8</c:v>
                </c:pt>
                <c:pt idx="4">
                  <c:v>57673.4</c:v>
                </c:pt>
                <c:pt idx="5">
                  <c:v>58786</c:v>
                </c:pt>
                <c:pt idx="6">
                  <c:v>59898.6</c:v>
                </c:pt>
                <c:pt idx="7">
                  <c:v>61011.2</c:v>
                </c:pt>
                <c:pt idx="8">
                  <c:v>62123.8</c:v>
                </c:pt>
                <c:pt idx="9">
                  <c:v>63236.4</c:v>
                </c:pt>
                <c:pt idx="10">
                  <c:v>64349</c:v>
                </c:pt>
                <c:pt idx="11">
                  <c:v>65461.6</c:v>
                </c:pt>
                <c:pt idx="12">
                  <c:v>66574.2</c:v>
                </c:pt>
                <c:pt idx="13">
                  <c:v>67686.8</c:v>
                </c:pt>
                <c:pt idx="14">
                  <c:v>68799.4</c:v>
                </c:pt>
                <c:pt idx="15">
                  <c:v>69912</c:v>
                </c:pt>
                <c:pt idx="16">
                  <c:v>71024.6</c:v>
                </c:pt>
                <c:pt idx="17">
                  <c:v>72137.2</c:v>
                </c:pt>
                <c:pt idx="18">
                  <c:v>73249.8</c:v>
                </c:pt>
                <c:pt idx="19">
                  <c:v>74362.4</c:v>
                </c:pt>
                <c:pt idx="20">
                  <c:v>75475</c:v>
                </c:pt>
                <c:pt idx="21">
                  <c:v>76587.6</c:v>
                </c:pt>
                <c:pt idx="22">
                  <c:v>77700.2</c:v>
                </c:pt>
                <c:pt idx="23">
                  <c:v>78812.8</c:v>
                </c:pt>
                <c:pt idx="24">
                  <c:v>79925.4</c:v>
                </c:pt>
                <c:pt idx="25">
                  <c:v>81038</c:v>
                </c:pt>
                <c:pt idx="26">
                  <c:v>82150.6</c:v>
                </c:pt>
                <c:pt idx="27">
                  <c:v>83263.2</c:v>
                </c:pt>
                <c:pt idx="28">
                  <c:v>84375.8</c:v>
                </c:pt>
                <c:pt idx="29">
                  <c:v>85488.4</c:v>
                </c:pt>
                <c:pt idx="30">
                  <c:v>86601</c:v>
                </c:pt>
                <c:pt idx="31">
                  <c:v>87713.6</c:v>
                </c:pt>
                <c:pt idx="32">
                  <c:v>88826.2</c:v>
                </c:pt>
                <c:pt idx="33">
                  <c:v>89938.8</c:v>
                </c:pt>
                <c:pt idx="34">
                  <c:v>91051.4</c:v>
                </c:pt>
                <c:pt idx="35">
                  <c:v>92164</c:v>
                </c:pt>
                <c:pt idx="36">
                  <c:v>93276.6</c:v>
                </c:pt>
                <c:pt idx="37">
                  <c:v>94389.2</c:v>
                </c:pt>
                <c:pt idx="38">
                  <c:v>95501.8</c:v>
                </c:pt>
                <c:pt idx="39">
                  <c:v>96614.4</c:v>
                </c:pt>
                <c:pt idx="40">
                  <c:v>97727</c:v>
                </c:pt>
                <c:pt idx="41">
                  <c:v>98839.6</c:v>
                </c:pt>
                <c:pt idx="42">
                  <c:v>99952.2</c:v>
                </c:pt>
                <c:pt idx="43">
                  <c:v>101064.8</c:v>
                </c:pt>
                <c:pt idx="44">
                  <c:v>102177.4</c:v>
                </c:pt>
                <c:pt idx="45">
                  <c:v>103290</c:v>
                </c:pt>
                <c:pt idx="46">
                  <c:v>104402.6</c:v>
                </c:pt>
                <c:pt idx="47">
                  <c:v>105515.2</c:v>
                </c:pt>
                <c:pt idx="48">
                  <c:v>106627.8</c:v>
                </c:pt>
                <c:pt idx="49">
                  <c:v>107740.4</c:v>
                </c:pt>
                <c:pt idx="50">
                  <c:v>108853</c:v>
                </c:pt>
                <c:pt idx="51">
                  <c:v>109965.6</c:v>
                </c:pt>
                <c:pt idx="52">
                  <c:v>111078.2</c:v>
                </c:pt>
                <c:pt idx="53">
                  <c:v>112190.8</c:v>
                </c:pt>
                <c:pt idx="54">
                  <c:v>113303.4</c:v>
                </c:pt>
                <c:pt idx="55">
                  <c:v>114416</c:v>
                </c:pt>
                <c:pt idx="56">
                  <c:v>115528.6</c:v>
                </c:pt>
                <c:pt idx="57">
                  <c:v>116641.2</c:v>
                </c:pt>
                <c:pt idx="58">
                  <c:v>117753.8</c:v>
                </c:pt>
                <c:pt idx="59">
                  <c:v>118866.4</c:v>
                </c:pt>
                <c:pt idx="60">
                  <c:v>119979</c:v>
                </c:pt>
                <c:pt idx="61">
                  <c:v>121091.6</c:v>
                </c:pt>
                <c:pt idx="62">
                  <c:v>122204.2</c:v>
                </c:pt>
                <c:pt idx="63">
                  <c:v>123316.8</c:v>
                </c:pt>
                <c:pt idx="64">
                  <c:v>124429.4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8931757"/>
        <c:axId val="74613761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年份</c:v>
                      </c:pt>
                    </c:strCache>
                  </c:strRef>
                </c:tx>
                <c:spPr>
                  <a:ln w="25400" cap="rnd">
                    <a:solidFill>
                      <a:srgbClr val="00B0F0"/>
                    </a:solidFill>
                    <a:round/>
                  </a:ln>
                  <a:effectLst/>
                  <a:sp3d contourW="25400"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Sheet1!$A$2:$A$66</c15:sqref>
                        </c15:formulaRef>
                      </c:ext>
                    </c:extLst>
                    <c:numCache>
                      <c:formatCode>0_ </c:formatCode>
                      <c:ptCount val="65"/>
                      <c:pt idx="0" c:formatCode="0_ ">
                        <c:v>1949</c:v>
                      </c:pt>
                      <c:pt idx="1" c:formatCode="0_ ">
                        <c:v>1950</c:v>
                      </c:pt>
                      <c:pt idx="2" c:formatCode="0_ ">
                        <c:v>1951</c:v>
                      </c:pt>
                      <c:pt idx="3" c:formatCode="0_ ">
                        <c:v>1952</c:v>
                      </c:pt>
                      <c:pt idx="4" c:formatCode="0_ ">
                        <c:v>1953</c:v>
                      </c:pt>
                      <c:pt idx="5" c:formatCode="0_ ">
                        <c:v>1954</c:v>
                      </c:pt>
                      <c:pt idx="6" c:formatCode="0_ ">
                        <c:v>1955</c:v>
                      </c:pt>
                      <c:pt idx="7" c:formatCode="0_ ">
                        <c:v>1956</c:v>
                      </c:pt>
                      <c:pt idx="8" c:formatCode="0_ ">
                        <c:v>1957</c:v>
                      </c:pt>
                      <c:pt idx="9" c:formatCode="0_ ">
                        <c:v>1958</c:v>
                      </c:pt>
                      <c:pt idx="10" c:formatCode="0_ ">
                        <c:v>1959</c:v>
                      </c:pt>
                      <c:pt idx="11" c:formatCode="0_ ">
                        <c:v>1960</c:v>
                      </c:pt>
                      <c:pt idx="12" c:formatCode="0_ ">
                        <c:v>1961</c:v>
                      </c:pt>
                      <c:pt idx="13" c:formatCode="0_ ">
                        <c:v>1962</c:v>
                      </c:pt>
                      <c:pt idx="14" c:formatCode="0_ ">
                        <c:v>1963</c:v>
                      </c:pt>
                      <c:pt idx="15" c:formatCode="0_ ">
                        <c:v>1964</c:v>
                      </c:pt>
                      <c:pt idx="16" c:formatCode="0_ ">
                        <c:v>1965</c:v>
                      </c:pt>
                      <c:pt idx="17" c:formatCode="0_ ">
                        <c:v>1966</c:v>
                      </c:pt>
                      <c:pt idx="18" c:formatCode="0_ ">
                        <c:v>1967</c:v>
                      </c:pt>
                      <c:pt idx="19" c:formatCode="0_ ">
                        <c:v>1968</c:v>
                      </c:pt>
                      <c:pt idx="20" c:formatCode="0_ ">
                        <c:v>1969</c:v>
                      </c:pt>
                      <c:pt idx="21" c:formatCode="0_ ">
                        <c:v>1970</c:v>
                      </c:pt>
                      <c:pt idx="22" c:formatCode="0_ ">
                        <c:v>1971</c:v>
                      </c:pt>
                      <c:pt idx="23" c:formatCode="0_ ">
                        <c:v>1972</c:v>
                      </c:pt>
                      <c:pt idx="24" c:formatCode="0_ ">
                        <c:v>1973</c:v>
                      </c:pt>
                      <c:pt idx="25" c:formatCode="0_ ">
                        <c:v>1974</c:v>
                      </c:pt>
                      <c:pt idx="26" c:formatCode="0_ ">
                        <c:v>1975</c:v>
                      </c:pt>
                      <c:pt idx="27" c:formatCode="0_ ">
                        <c:v>1976</c:v>
                      </c:pt>
                      <c:pt idx="28" c:formatCode="0_ ">
                        <c:v>1977</c:v>
                      </c:pt>
                      <c:pt idx="29" c:formatCode="0_ ">
                        <c:v>1978</c:v>
                      </c:pt>
                      <c:pt idx="30" c:formatCode="0_ ">
                        <c:v>1979</c:v>
                      </c:pt>
                      <c:pt idx="31" c:formatCode="0_ ">
                        <c:v>1980</c:v>
                      </c:pt>
                      <c:pt idx="32" c:formatCode="0_ ">
                        <c:v>1981</c:v>
                      </c:pt>
                      <c:pt idx="33" c:formatCode="0_ ">
                        <c:v>1982</c:v>
                      </c:pt>
                      <c:pt idx="34" c:formatCode="0_ ">
                        <c:v>1983</c:v>
                      </c:pt>
                      <c:pt idx="35" c:formatCode="0_ ">
                        <c:v>1984</c:v>
                      </c:pt>
                      <c:pt idx="36" c:formatCode="0_ ">
                        <c:v>1985</c:v>
                      </c:pt>
                      <c:pt idx="37" c:formatCode="0_ ">
                        <c:v>1986</c:v>
                      </c:pt>
                      <c:pt idx="38" c:formatCode="0_ ">
                        <c:v>1987</c:v>
                      </c:pt>
                      <c:pt idx="39" c:formatCode="0_ ">
                        <c:v>1988</c:v>
                      </c:pt>
                      <c:pt idx="40" c:formatCode="0_ ">
                        <c:v>1989</c:v>
                      </c:pt>
                      <c:pt idx="41" c:formatCode="0_ ">
                        <c:v>1990</c:v>
                      </c:pt>
                      <c:pt idx="42" c:formatCode="0_ ">
                        <c:v>1991</c:v>
                      </c:pt>
                      <c:pt idx="43" c:formatCode="0_ ">
                        <c:v>1992</c:v>
                      </c:pt>
                      <c:pt idx="44" c:formatCode="0_ ">
                        <c:v>1993</c:v>
                      </c:pt>
                      <c:pt idx="45" c:formatCode="0_ ">
                        <c:v>1994</c:v>
                      </c:pt>
                      <c:pt idx="46" c:formatCode="0_ ">
                        <c:v>1995</c:v>
                      </c:pt>
                      <c:pt idx="47" c:formatCode="0_ ">
                        <c:v>1996</c:v>
                      </c:pt>
                      <c:pt idx="48" c:formatCode="0_ ">
                        <c:v>1997</c:v>
                      </c:pt>
                      <c:pt idx="49" c:formatCode="0_ ">
                        <c:v>1998</c:v>
                      </c:pt>
                      <c:pt idx="50" c:formatCode="0_ ">
                        <c:v>1999</c:v>
                      </c:pt>
                      <c:pt idx="51" c:formatCode="0_ ">
                        <c:v>2000</c:v>
                      </c:pt>
                      <c:pt idx="52" c:formatCode="0_ ">
                        <c:v>2001</c:v>
                      </c:pt>
                      <c:pt idx="53" c:formatCode="0_ ">
                        <c:v>2002</c:v>
                      </c:pt>
                      <c:pt idx="54" c:formatCode="0_ ">
                        <c:v>2003</c:v>
                      </c:pt>
                      <c:pt idx="55" c:formatCode="0_ ">
                        <c:v>2004</c:v>
                      </c:pt>
                      <c:pt idx="56" c:formatCode="0_ ">
                        <c:v>2005</c:v>
                      </c:pt>
                      <c:pt idx="57" c:formatCode="0_ ">
                        <c:v>2006</c:v>
                      </c:pt>
                      <c:pt idx="58" c:formatCode="0_ ">
                        <c:v>2007</c:v>
                      </c:pt>
                      <c:pt idx="59" c:formatCode="0_ ">
                        <c:v>2008</c:v>
                      </c:pt>
                      <c:pt idx="60" c:formatCode="0_ ">
                        <c:v>2009</c:v>
                      </c:pt>
                      <c:pt idx="61" c:formatCode="0_ ">
                        <c:v>2010</c:v>
                      </c:pt>
                      <c:pt idx="62" c:formatCode="0_ ">
                        <c:v>2011</c:v>
                      </c:pt>
                      <c:pt idx="63" c:formatCode="0_ ">
                        <c:v>2012</c:v>
                      </c:pt>
                      <c:pt idx="64" c:formatCode="0_ ">
                        <c:v>2013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Sheet1!$A$2:$A$66</c15:sqref>
                        </c15:formulaRef>
                      </c:ext>
                    </c:extLst>
                    <c:numCache>
                      <c:formatCode>0_ </c:formatCode>
                      <c:ptCount val="65"/>
                      <c:pt idx="0">
                        <c:v>1949</c:v>
                      </c:pt>
                      <c:pt idx="1">
                        <c:v>1950</c:v>
                      </c:pt>
                      <c:pt idx="2">
                        <c:v>1951</c:v>
                      </c:pt>
                      <c:pt idx="3">
                        <c:v>1952</c:v>
                      </c:pt>
                      <c:pt idx="4">
                        <c:v>1953</c:v>
                      </c:pt>
                      <c:pt idx="5">
                        <c:v>1954</c:v>
                      </c:pt>
                      <c:pt idx="6">
                        <c:v>1955</c:v>
                      </c:pt>
                      <c:pt idx="7">
                        <c:v>1956</c:v>
                      </c:pt>
                      <c:pt idx="8">
                        <c:v>1957</c:v>
                      </c:pt>
                      <c:pt idx="9">
                        <c:v>1958</c:v>
                      </c:pt>
                      <c:pt idx="10">
                        <c:v>1959</c:v>
                      </c:pt>
                      <c:pt idx="11">
                        <c:v>1960</c:v>
                      </c:pt>
                      <c:pt idx="12">
                        <c:v>1961</c:v>
                      </c:pt>
                      <c:pt idx="13">
                        <c:v>1962</c:v>
                      </c:pt>
                      <c:pt idx="14">
                        <c:v>1963</c:v>
                      </c:pt>
                      <c:pt idx="15">
                        <c:v>1964</c:v>
                      </c:pt>
                      <c:pt idx="16">
                        <c:v>1965</c:v>
                      </c:pt>
                      <c:pt idx="17">
                        <c:v>1966</c:v>
                      </c:pt>
                      <c:pt idx="18">
                        <c:v>1967</c:v>
                      </c:pt>
                      <c:pt idx="19">
                        <c:v>1968</c:v>
                      </c:pt>
                      <c:pt idx="20">
                        <c:v>1969</c:v>
                      </c:pt>
                      <c:pt idx="21">
                        <c:v>1970</c:v>
                      </c:pt>
                      <c:pt idx="22">
                        <c:v>1971</c:v>
                      </c:pt>
                      <c:pt idx="23">
                        <c:v>1972</c:v>
                      </c:pt>
                      <c:pt idx="24">
                        <c:v>1973</c:v>
                      </c:pt>
                      <c:pt idx="25">
                        <c:v>1974</c:v>
                      </c:pt>
                      <c:pt idx="26">
                        <c:v>1975</c:v>
                      </c:pt>
                      <c:pt idx="27">
                        <c:v>1976</c:v>
                      </c:pt>
                      <c:pt idx="28">
                        <c:v>1977</c:v>
                      </c:pt>
                      <c:pt idx="29">
                        <c:v>1978</c:v>
                      </c:pt>
                      <c:pt idx="30">
                        <c:v>1979</c:v>
                      </c:pt>
                      <c:pt idx="31">
                        <c:v>1980</c:v>
                      </c:pt>
                      <c:pt idx="32">
                        <c:v>1981</c:v>
                      </c:pt>
                      <c:pt idx="33">
                        <c:v>1982</c:v>
                      </c:pt>
                      <c:pt idx="34">
                        <c:v>1983</c:v>
                      </c:pt>
                      <c:pt idx="35">
                        <c:v>1984</c:v>
                      </c:pt>
                      <c:pt idx="36">
                        <c:v>1985</c:v>
                      </c:pt>
                      <c:pt idx="37">
                        <c:v>1986</c:v>
                      </c:pt>
                      <c:pt idx="38">
                        <c:v>1987</c:v>
                      </c:pt>
                      <c:pt idx="39">
                        <c:v>1988</c:v>
                      </c:pt>
                      <c:pt idx="40">
                        <c:v>1989</c:v>
                      </c:pt>
                      <c:pt idx="41">
                        <c:v>1990</c:v>
                      </c:pt>
                      <c:pt idx="42">
                        <c:v>1991</c:v>
                      </c:pt>
                      <c:pt idx="43">
                        <c:v>1992</c:v>
                      </c:pt>
                      <c:pt idx="44">
                        <c:v>1993</c:v>
                      </c:pt>
                      <c:pt idx="45">
                        <c:v>1994</c:v>
                      </c:pt>
                      <c:pt idx="46">
                        <c:v>1995</c:v>
                      </c:pt>
                      <c:pt idx="47">
                        <c:v>1996</c:v>
                      </c:pt>
                      <c:pt idx="48">
                        <c:v>1997</c:v>
                      </c:pt>
                      <c:pt idx="49">
                        <c:v>1998</c:v>
                      </c:pt>
                      <c:pt idx="50">
                        <c:v>1999</c:v>
                      </c:pt>
                      <c:pt idx="51">
                        <c:v>2000</c:v>
                      </c:pt>
                      <c:pt idx="52">
                        <c:v>2001</c:v>
                      </c:pt>
                      <c:pt idx="53">
                        <c:v>2002</c:v>
                      </c:pt>
                      <c:pt idx="54">
                        <c:v>2003</c:v>
                      </c:pt>
                      <c:pt idx="55">
                        <c:v>2004</c:v>
                      </c:pt>
                      <c:pt idx="56">
                        <c:v>2005</c:v>
                      </c:pt>
                      <c:pt idx="57">
                        <c:v>2006</c:v>
                      </c:pt>
                      <c:pt idx="58">
                        <c:v>2007</c:v>
                      </c:pt>
                      <c:pt idx="59">
                        <c:v>2008</c:v>
                      </c:pt>
                      <c:pt idx="60">
                        <c:v>2009</c:v>
                      </c:pt>
                      <c:pt idx="61">
                        <c:v>2010</c:v>
                      </c:pt>
                      <c:pt idx="62">
                        <c:v>2011</c:v>
                      </c:pt>
                      <c:pt idx="63">
                        <c:v>2012</c:v>
                      </c:pt>
                      <c:pt idx="64">
                        <c:v>2013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289317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/>
                  <a:t>年份</a:t>
                </a:r>
                <a:endParaRPr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6137611"/>
        <c:crosses val="autoZero"/>
        <c:auto val="1"/>
        <c:lblAlgn val="ctr"/>
        <c:lblOffset val="100"/>
        <c:tickLblSkip val="4"/>
        <c:noMultiLvlLbl val="0"/>
      </c:catAx>
      <c:valAx>
        <c:axId val="7461376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200">
                    <a:solidFill>
                      <a:sysClr val="windowText" lastClr="000000"/>
                    </a:solidFill>
                  </a:rPr>
                  <a:t>年末总人口（</a:t>
                </a:r>
                <a:r>
                  <a:rPr altLang="en-US" sz="1200">
                    <a:solidFill>
                      <a:sysClr val="windowText" lastClr="000000"/>
                    </a:solidFill>
                  </a:rPr>
                  <a:t>万人）</a:t>
                </a:r>
                <a:endParaRPr lang="en-US" altLang="zh-CN" sz="1200">
                  <a:solidFill>
                    <a:sysClr val="windowText" lastClr="000000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9317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85997242071"/>
          <c:y val="0.47991761071060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660400</xdr:colOff>
      <xdr:row>4</xdr:row>
      <xdr:rowOff>31750</xdr:rowOff>
    </xdr:from>
    <xdr:to>
      <xdr:col>16</xdr:col>
      <xdr:colOff>123190</xdr:colOff>
      <xdr:row>32</xdr:row>
      <xdr:rowOff>163830</xdr:rowOff>
    </xdr:to>
    <xdr:graphicFrame>
      <xdr:nvGraphicFramePr>
        <xdr:cNvPr id="3" name="图表 2"/>
        <xdr:cNvGraphicFramePr/>
      </xdr:nvGraphicFramePr>
      <xdr:xfrm>
        <a:off x="6670675" y="717550"/>
        <a:ext cx="10130790" cy="493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workbookViewId="0">
      <selection activeCell="X32" sqref="X32"/>
    </sheetView>
  </sheetViews>
  <sheetFormatPr defaultColWidth="9" defaultRowHeight="13.5" outlineLevelCol="6"/>
  <cols>
    <col min="2" max="2" width="21.625" customWidth="1"/>
    <col min="3" max="3" width="27.625" customWidth="1"/>
    <col min="4" max="4" width="20.625" customWidth="1"/>
    <col min="6" max="6" width="37.5" customWidth="1"/>
    <col min="7" max="7" width="12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>
        <v>146520</v>
      </c>
    </row>
    <row r="2" spans="1:7">
      <c r="A2" s="1">
        <v>1949</v>
      </c>
      <c r="B2" s="1">
        <v>54167</v>
      </c>
      <c r="C2" s="1">
        <f>$G$1/(1+($G$1/$G$3-1)*EXP(-$G$2*((A2-1948)-$G$4)))</f>
        <v>54167</v>
      </c>
      <c r="D2" s="1">
        <f>52110.4+1112.6*(A2-1948)</f>
        <v>53223</v>
      </c>
      <c r="F2" s="2" t="s">
        <v>5</v>
      </c>
      <c r="G2" s="2">
        <v>0.0627</v>
      </c>
    </row>
    <row r="3" spans="1:7">
      <c r="A3" s="1">
        <v>1950</v>
      </c>
      <c r="B3" s="1">
        <v>55196</v>
      </c>
      <c r="C3" s="1">
        <f t="shared" ref="C3:C34" si="0">$G$1/(1+($G$1/$G$3-1)*EXP(-$G$2*((A3-1948)-$G$4)))</f>
        <v>56324.6249307647</v>
      </c>
      <c r="D3" s="1">
        <f t="shared" ref="D3:D34" si="1">52110.4+1112.6*(A3-1948)</f>
        <v>54335.6</v>
      </c>
      <c r="F3" s="2" t="s">
        <v>6</v>
      </c>
      <c r="G3" s="2">
        <v>54167</v>
      </c>
    </row>
    <row r="4" spans="1:7">
      <c r="A4" s="1">
        <v>1951</v>
      </c>
      <c r="B4" s="1">
        <v>56300</v>
      </c>
      <c r="C4" s="1">
        <f t="shared" si="0"/>
        <v>58513.740898239</v>
      </c>
      <c r="D4" s="1">
        <f t="shared" si="1"/>
        <v>55448.2</v>
      </c>
      <c r="F4" s="2" t="s">
        <v>7</v>
      </c>
      <c r="G4" s="2">
        <v>1</v>
      </c>
    </row>
    <row r="5" spans="1:7">
      <c r="A5" s="1">
        <v>1952</v>
      </c>
      <c r="B5" s="1">
        <v>57482</v>
      </c>
      <c r="C5" s="1">
        <f t="shared" si="0"/>
        <v>60730.6512677162</v>
      </c>
      <c r="D5" s="1">
        <f t="shared" si="1"/>
        <v>56560.8</v>
      </c>
      <c r="F5" s="3"/>
      <c r="G5" s="3"/>
    </row>
    <row r="6" spans="1:7">
      <c r="A6" s="1">
        <v>1953</v>
      </c>
      <c r="B6" s="1">
        <v>58796</v>
      </c>
      <c r="C6" s="1">
        <f t="shared" si="0"/>
        <v>62971.4545473337</v>
      </c>
      <c r="D6" s="1">
        <f t="shared" si="1"/>
        <v>57673.4</v>
      </c>
    </row>
    <row r="7" spans="1:7">
      <c r="A7" s="1">
        <v>1954</v>
      </c>
      <c r="B7" s="1">
        <v>60266</v>
      </c>
      <c r="C7" s="1">
        <f t="shared" si="0"/>
        <v>65232.069984746</v>
      </c>
      <c r="D7" s="1">
        <f t="shared" si="1"/>
        <v>58786</v>
      </c>
    </row>
    <row r="8" spans="1:7">
      <c r="A8" s="1">
        <v>1955</v>
      </c>
      <c r="B8" s="1">
        <v>61465</v>
      </c>
      <c r="C8" s="1">
        <f t="shared" si="0"/>
        <v>67508.265968799</v>
      </c>
      <c r="D8" s="1">
        <f t="shared" si="1"/>
        <v>59898.6</v>
      </c>
    </row>
    <row r="9" spans="1:7">
      <c r="A9" s="1">
        <v>1956</v>
      </c>
      <c r="B9" s="1">
        <v>62828</v>
      </c>
      <c r="C9" s="1">
        <f t="shared" si="0"/>
        <v>69795.690840512</v>
      </c>
      <c r="D9" s="1">
        <f t="shared" si="1"/>
        <v>61011.2</v>
      </c>
    </row>
    <row r="10" spans="1:7">
      <c r="A10" s="1">
        <v>1957</v>
      </c>
      <c r="B10" s="1">
        <v>64653</v>
      </c>
      <c r="C10" s="1">
        <f t="shared" si="0"/>
        <v>72089.9056525776</v>
      </c>
      <c r="D10" s="1">
        <f t="shared" si="1"/>
        <v>62123.8</v>
      </c>
    </row>
    <row r="11" spans="1:7">
      <c r="A11" s="1">
        <v>1958</v>
      </c>
      <c r="B11" s="1">
        <v>65994</v>
      </c>
      <c r="C11" s="1">
        <f t="shared" si="0"/>
        <v>74386.4183628335</v>
      </c>
      <c r="D11" s="1">
        <f t="shared" si="1"/>
        <v>63236.4</v>
      </c>
    </row>
    <row r="12" spans="1:7">
      <c r="A12" s="1">
        <v>1959</v>
      </c>
      <c r="B12" s="1">
        <v>67207</v>
      </c>
      <c r="C12" s="1">
        <f t="shared" si="0"/>
        <v>76680.7189069836</v>
      </c>
      <c r="D12" s="1">
        <f t="shared" si="1"/>
        <v>64349</v>
      </c>
    </row>
    <row r="13" spans="1:7">
      <c r="A13" s="1">
        <v>1960</v>
      </c>
      <c r="B13" s="1">
        <v>66207</v>
      </c>
      <c r="C13" s="1">
        <f t="shared" si="0"/>
        <v>78968.3145709645</v>
      </c>
      <c r="D13" s="1">
        <f t="shared" si="1"/>
        <v>65461.6</v>
      </c>
    </row>
    <row r="14" spans="1:7">
      <c r="A14" s="1">
        <v>1961</v>
      </c>
      <c r="B14" s="1">
        <v>65859</v>
      </c>
      <c r="C14" s="1">
        <f t="shared" si="0"/>
        <v>81244.765074827</v>
      </c>
      <c r="D14" s="1">
        <f t="shared" si="1"/>
        <v>66574.2</v>
      </c>
    </row>
    <row r="15" spans="1:7">
      <c r="A15" s="1">
        <v>1962</v>
      </c>
      <c r="B15" s="1">
        <v>67295</v>
      </c>
      <c r="C15" s="1">
        <f t="shared" si="0"/>
        <v>83505.7167882115</v>
      </c>
      <c r="D15" s="1">
        <f t="shared" si="1"/>
        <v>67686.8</v>
      </c>
    </row>
    <row r="16" spans="1:7">
      <c r="A16" s="1">
        <v>1963</v>
      </c>
      <c r="B16" s="1">
        <v>69172</v>
      </c>
      <c r="C16" s="1">
        <f t="shared" si="0"/>
        <v>85746.9355220751</v>
      </c>
      <c r="D16" s="1">
        <f t="shared" si="1"/>
        <v>68799.4</v>
      </c>
    </row>
    <row r="17" spans="1:4">
      <c r="A17" s="1">
        <v>1964</v>
      </c>
      <c r="B17" s="1">
        <v>70499</v>
      </c>
      <c r="C17" s="1">
        <f t="shared" si="0"/>
        <v>87964.3373812264</v>
      </c>
      <c r="D17" s="1">
        <f t="shared" si="1"/>
        <v>69912</v>
      </c>
    </row>
    <row r="18" spans="1:4">
      <c r="A18" s="1">
        <v>1965</v>
      </c>
      <c r="B18" s="1">
        <v>72538</v>
      </c>
      <c r="C18" s="1">
        <f t="shared" si="0"/>
        <v>90154.0172157413</v>
      </c>
      <c r="D18" s="1">
        <f t="shared" si="1"/>
        <v>71024.6</v>
      </c>
    </row>
    <row r="19" spans="1:4">
      <c r="A19" s="1">
        <v>1966</v>
      </c>
      <c r="B19" s="1">
        <v>74542</v>
      </c>
      <c r="C19" s="1">
        <f t="shared" si="0"/>
        <v>92312.2742742399</v>
      </c>
      <c r="D19" s="1">
        <f t="shared" si="1"/>
        <v>72137.2</v>
      </c>
    </row>
    <row r="20" spans="1:4">
      <c r="A20" s="1">
        <v>1967</v>
      </c>
      <c r="B20" s="1">
        <v>76368</v>
      </c>
      <c r="C20" s="1">
        <f t="shared" si="0"/>
        <v>94435.6347356555</v>
      </c>
      <c r="D20" s="1">
        <f t="shared" si="1"/>
        <v>73249.8</v>
      </c>
    </row>
    <row r="21" spans="1:4">
      <c r="A21" s="1">
        <v>1968</v>
      </c>
      <c r="B21" s="1">
        <v>78534</v>
      </c>
      <c r="C21" s="1">
        <f t="shared" si="0"/>
        <v>96520.8708756332</v>
      </c>
      <c r="D21" s="1">
        <f t="shared" si="1"/>
        <v>74362.4</v>
      </c>
    </row>
    <row r="22" spans="1:4">
      <c r="A22" s="1">
        <v>1969</v>
      </c>
      <c r="B22" s="1">
        <v>80671</v>
      </c>
      <c r="C22" s="1">
        <f t="shared" si="0"/>
        <v>98565.0167060562</v>
      </c>
      <c r="D22" s="1">
        <f t="shared" si="1"/>
        <v>75475</v>
      </c>
    </row>
    <row r="23" spans="1:4">
      <c r="A23" s="1">
        <v>1970</v>
      </c>
      <c r="B23" s="1">
        <v>82992</v>
      </c>
      <c r="C23" s="1">
        <f t="shared" si="0"/>
        <v>100565.380008477</v>
      </c>
      <c r="D23" s="1">
        <f t="shared" si="1"/>
        <v>76587.6</v>
      </c>
    </row>
    <row r="24" spans="1:4">
      <c r="A24" s="1">
        <v>1971</v>
      </c>
      <c r="B24" s="1">
        <v>85229</v>
      </c>
      <c r="C24" s="1">
        <f t="shared" si="0"/>
        <v>102519.550761675</v>
      </c>
      <c r="D24" s="1">
        <f t="shared" si="1"/>
        <v>77700.2</v>
      </c>
    </row>
    <row r="25" spans="1:4">
      <c r="A25" s="1">
        <v>1972</v>
      </c>
      <c r="B25" s="1">
        <v>87177</v>
      </c>
      <c r="C25" s="1">
        <f t="shared" si="0"/>
        <v>104425.406037769</v>
      </c>
      <c r="D25" s="1">
        <f t="shared" si="1"/>
        <v>78812.8</v>
      </c>
    </row>
    <row r="26" spans="1:4">
      <c r="A26" s="1">
        <v>1973</v>
      </c>
      <c r="B26" s="1">
        <v>88973</v>
      </c>
      <c r="C26" s="1">
        <f t="shared" si="0"/>
        <v>106281.111508185</v>
      </c>
      <c r="D26" s="1">
        <f t="shared" si="1"/>
        <v>79925.4</v>
      </c>
    </row>
    <row r="27" spans="1:4">
      <c r="A27" s="1">
        <v>1974</v>
      </c>
      <c r="B27" s="1">
        <v>90859</v>
      </c>
      <c r="C27" s="1">
        <f t="shared" si="0"/>
        <v>108085.119758875</v>
      </c>
      <c r="D27" s="1">
        <f t="shared" si="1"/>
        <v>81038</v>
      </c>
    </row>
    <row r="28" spans="1:4">
      <c r="A28" s="1">
        <v>1975</v>
      </c>
      <c r="B28" s="1">
        <v>92420</v>
      </c>
      <c r="C28" s="1">
        <f t="shared" si="0"/>
        <v>109836.165662293</v>
      </c>
      <c r="D28" s="1">
        <f t="shared" si="1"/>
        <v>82150.6</v>
      </c>
    </row>
    <row r="29" spans="1:4">
      <c r="A29" s="1">
        <v>1976</v>
      </c>
      <c r="B29" s="1">
        <v>93717</v>
      </c>
      <c r="C29" s="1">
        <f t="shared" si="0"/>
        <v>111533.259091286</v>
      </c>
      <c r="D29" s="1">
        <f t="shared" si="1"/>
        <v>83263.2</v>
      </c>
    </row>
    <row r="30" spans="1:4">
      <c r="A30" s="1">
        <v>1977</v>
      </c>
      <c r="B30" s="1">
        <v>94974</v>
      </c>
      <c r="C30" s="1">
        <f t="shared" si="0"/>
        <v>113175.67528707</v>
      </c>
      <c r="D30" s="1">
        <f t="shared" si="1"/>
        <v>84375.8</v>
      </c>
    </row>
    <row r="31" spans="1:4">
      <c r="A31" s="1">
        <v>1978</v>
      </c>
      <c r="B31" s="1">
        <v>96259</v>
      </c>
      <c r="C31" s="1">
        <f t="shared" si="0"/>
        <v>114762.94321017</v>
      </c>
      <c r="D31" s="1">
        <f t="shared" si="1"/>
        <v>85488.4</v>
      </c>
    </row>
    <row r="32" spans="1:4">
      <c r="A32" s="1">
        <v>1979</v>
      </c>
      <c r="B32" s="1">
        <v>97542</v>
      </c>
      <c r="C32" s="1">
        <f t="shared" si="0"/>
        <v>116294.832210212</v>
      </c>
      <c r="D32" s="1">
        <f t="shared" si="1"/>
        <v>86601</v>
      </c>
    </row>
    <row r="33" spans="1:4">
      <c r="A33" s="1">
        <v>1980</v>
      </c>
      <c r="B33" s="1">
        <v>98705</v>
      </c>
      <c r="C33" s="1">
        <f t="shared" si="0"/>
        <v>117771.337348674</v>
      </c>
      <c r="D33" s="1">
        <f t="shared" si="1"/>
        <v>87713.6</v>
      </c>
    </row>
    <row r="34" spans="1:4">
      <c r="A34" s="1">
        <v>1981</v>
      </c>
      <c r="B34" s="1">
        <v>100072</v>
      </c>
      <c r="C34" s="1">
        <f t="shared" si="0"/>
        <v>119192.663699314</v>
      </c>
      <c r="D34" s="1">
        <f t="shared" si="1"/>
        <v>88826.2</v>
      </c>
    </row>
    <row r="35" spans="1:4">
      <c r="A35" s="1">
        <v>1982</v>
      </c>
      <c r="B35" s="1">
        <v>101654</v>
      </c>
      <c r="C35" s="1">
        <f t="shared" ref="C35:C66" si="2">$G$1/(1+($G$1/$G$3-1)*EXP(-$G$2*((A35-1948)-$G$4)))</f>
        <v>120559.20993513</v>
      </c>
      <c r="D35" s="1">
        <f t="shared" ref="D35:D66" si="3">52110.4+1112.6*(A35-1948)</f>
        <v>89938.8</v>
      </c>
    </row>
    <row r="36" spans="1:4">
      <c r="A36" s="1">
        <v>1983</v>
      </c>
      <c r="B36" s="1">
        <v>103008</v>
      </c>
      <c r="C36" s="1">
        <f t="shared" si="2"/>
        <v>121871.55148972</v>
      </c>
      <c r="D36" s="1">
        <f t="shared" si="3"/>
        <v>91051.4</v>
      </c>
    </row>
    <row r="37" spans="1:4">
      <c r="A37" s="1">
        <v>1984</v>
      </c>
      <c r="B37" s="1">
        <v>104357</v>
      </c>
      <c r="C37" s="1">
        <f t="shared" si="2"/>
        <v>123130.423556042</v>
      </c>
      <c r="D37" s="1">
        <f t="shared" si="3"/>
        <v>92164</v>
      </c>
    </row>
    <row r="38" spans="1:4">
      <c r="A38" s="1">
        <v>1985</v>
      </c>
      <c r="B38" s="1">
        <v>105851</v>
      </c>
      <c r="C38" s="1">
        <f t="shared" si="2"/>
        <v>124336.704158107</v>
      </c>
      <c r="D38" s="1">
        <f t="shared" si="3"/>
        <v>93276.6</v>
      </c>
    </row>
    <row r="39" spans="1:4">
      <c r="A39" s="1">
        <v>1986</v>
      </c>
      <c r="B39" s="1">
        <v>107507</v>
      </c>
      <c r="C39" s="1">
        <f t="shared" si="2"/>
        <v>125491.397502061</v>
      </c>
      <c r="D39" s="1">
        <f t="shared" si="3"/>
        <v>94389.2</v>
      </c>
    </row>
    <row r="40" spans="1:4">
      <c r="A40" s="1">
        <v>1987</v>
      </c>
      <c r="B40" s="1">
        <v>109300</v>
      </c>
      <c r="C40" s="1">
        <f t="shared" si="2"/>
        <v>126595.617783565</v>
      </c>
      <c r="D40" s="1">
        <f t="shared" si="3"/>
        <v>95501.8</v>
      </c>
    </row>
    <row r="41" spans="1:4">
      <c r="A41" s="1">
        <v>1988</v>
      </c>
      <c r="B41" s="1">
        <v>111026</v>
      </c>
      <c r="C41" s="1">
        <f t="shared" si="2"/>
        <v>127650.573599146</v>
      </c>
      <c r="D41" s="1">
        <f t="shared" si="3"/>
        <v>96614.4</v>
      </c>
    </row>
    <row r="42" spans="1:4">
      <c r="A42" s="1">
        <v>1989</v>
      </c>
      <c r="B42" s="1">
        <v>112704</v>
      </c>
      <c r="C42" s="1">
        <f t="shared" si="2"/>
        <v>128657.553080936</v>
      </c>
      <c r="D42" s="1">
        <f t="shared" si="3"/>
        <v>97727</v>
      </c>
    </row>
    <row r="43" spans="1:4">
      <c r="A43" s="1">
        <v>1990</v>
      </c>
      <c r="B43" s="1">
        <v>114333</v>
      </c>
      <c r="C43" s="1">
        <f t="shared" si="2"/>
        <v>129617.909847597</v>
      </c>
      <c r="D43" s="1">
        <f t="shared" si="3"/>
        <v>98839.6</v>
      </c>
    </row>
    <row r="44" spans="1:4">
      <c r="A44" s="1">
        <v>1991</v>
      </c>
      <c r="B44" s="1">
        <v>115823</v>
      </c>
      <c r="C44" s="1">
        <f t="shared" si="2"/>
        <v>130533.049839534</v>
      </c>
      <c r="D44" s="1">
        <f t="shared" si="3"/>
        <v>99952.2</v>
      </c>
    </row>
    <row r="45" spans="1:4">
      <c r="A45" s="1">
        <v>1992</v>
      </c>
      <c r="B45" s="1">
        <v>117171</v>
      </c>
      <c r="C45" s="1">
        <f t="shared" si="2"/>
        <v>131404.419084158</v>
      </c>
      <c r="D45" s="1">
        <f t="shared" si="3"/>
        <v>101064.8</v>
      </c>
    </row>
    <row r="46" spans="1:4">
      <c r="A46" s="1">
        <v>1993</v>
      </c>
      <c r="B46" s="1">
        <v>118517</v>
      </c>
      <c r="C46" s="1">
        <f t="shared" si="2"/>
        <v>132233.492416963</v>
      </c>
      <c r="D46" s="1">
        <f t="shared" si="3"/>
        <v>102177.4</v>
      </c>
    </row>
    <row r="47" spans="1:4">
      <c r="A47" s="1">
        <v>1994</v>
      </c>
      <c r="B47" s="1">
        <v>119850</v>
      </c>
      <c r="C47" s="1">
        <f t="shared" si="2"/>
        <v>133021.763166782</v>
      </c>
      <c r="D47" s="1">
        <f t="shared" si="3"/>
        <v>103290</v>
      </c>
    </row>
    <row r="48" spans="1:4">
      <c r="A48" s="1">
        <v>1995</v>
      </c>
      <c r="B48" s="1">
        <v>120778</v>
      </c>
      <c r="C48" s="1">
        <f t="shared" si="2"/>
        <v>133770.733798603</v>
      </c>
      <c r="D48" s="1">
        <f t="shared" si="3"/>
        <v>104402.6</v>
      </c>
    </row>
    <row r="49" spans="1:4">
      <c r="A49" s="1">
        <v>1996</v>
      </c>
      <c r="B49" s="1">
        <v>122389</v>
      </c>
      <c r="C49" s="1">
        <f t="shared" si="2"/>
        <v>134481.907494828</v>
      </c>
      <c r="D49" s="1">
        <f t="shared" si="3"/>
        <v>105515.2</v>
      </c>
    </row>
    <row r="50" spans="1:4">
      <c r="A50" s="1">
        <v>1997</v>
      </c>
      <c r="B50" s="1">
        <v>123626</v>
      </c>
      <c r="C50" s="1">
        <f t="shared" si="2"/>
        <v>135156.780645553</v>
      </c>
      <c r="D50" s="1">
        <f t="shared" si="3"/>
        <v>106627.8</v>
      </c>
    </row>
    <row r="51" spans="1:4">
      <c r="A51" s="1">
        <v>1998</v>
      </c>
      <c r="B51" s="1">
        <v>124761</v>
      </c>
      <c r="C51" s="1">
        <f t="shared" si="2"/>
        <v>135796.836210342</v>
      </c>
      <c r="D51" s="1">
        <f t="shared" si="3"/>
        <v>107740.4</v>
      </c>
    </row>
    <row r="52" spans="1:4">
      <c r="A52" s="1">
        <v>1999</v>
      </c>
      <c r="B52" s="1">
        <v>125786</v>
      </c>
      <c r="C52" s="1">
        <f t="shared" si="2"/>
        <v>136403.537907715</v>
      </c>
      <c r="D52" s="1">
        <f t="shared" si="3"/>
        <v>108853</v>
      </c>
    </row>
    <row r="53" spans="1:4">
      <c r="A53" s="1">
        <v>2000</v>
      </c>
      <c r="B53" s="1">
        <v>126743</v>
      </c>
      <c r="C53" s="1">
        <f t="shared" si="2"/>
        <v>136978.325184081</v>
      </c>
      <c r="D53" s="1">
        <f t="shared" si="3"/>
        <v>109965.6</v>
      </c>
    </row>
    <row r="54" spans="1:4">
      <c r="A54" s="1">
        <v>2001</v>
      </c>
      <c r="B54" s="1">
        <v>127627</v>
      </c>
      <c r="C54" s="1">
        <f t="shared" si="2"/>
        <v>137522.608910832</v>
      </c>
      <c r="D54" s="1">
        <f t="shared" si="3"/>
        <v>111078.2</v>
      </c>
    </row>
    <row r="55" spans="1:4">
      <c r="A55" s="1">
        <v>2002</v>
      </c>
      <c r="B55" s="1">
        <v>128453</v>
      </c>
      <c r="C55" s="1">
        <f t="shared" si="2"/>
        <v>138037.767756632</v>
      </c>
      <c r="D55" s="1">
        <f t="shared" si="3"/>
        <v>112190.8</v>
      </c>
    </row>
    <row r="56" spans="1:4">
      <c r="A56" s="1">
        <v>2003</v>
      </c>
      <c r="B56" s="1">
        <v>129227</v>
      </c>
      <c r="C56" s="1">
        <f t="shared" si="2"/>
        <v>138525.14518134</v>
      </c>
      <c r="D56" s="1">
        <f t="shared" si="3"/>
        <v>113303.4</v>
      </c>
    </row>
    <row r="57" spans="1:4">
      <c r="A57" s="1">
        <v>2004</v>
      </c>
      <c r="B57" s="1">
        <v>129988</v>
      </c>
      <c r="C57" s="1">
        <f t="shared" si="2"/>
        <v>138986.046998338</v>
      </c>
      <c r="D57" s="1">
        <f t="shared" si="3"/>
        <v>114416</v>
      </c>
    </row>
    <row r="58" spans="1:4">
      <c r="A58" s="1">
        <v>2005</v>
      </c>
      <c r="B58" s="1">
        <v>130756</v>
      </c>
      <c r="C58" s="1">
        <f t="shared" si="2"/>
        <v>139421.739453129</v>
      </c>
      <c r="D58" s="1">
        <f t="shared" si="3"/>
        <v>115528.6</v>
      </c>
    </row>
    <row r="59" spans="1:4">
      <c r="A59" s="1">
        <v>2006</v>
      </c>
      <c r="B59" s="1">
        <v>131448</v>
      </c>
      <c r="C59" s="1">
        <f t="shared" si="2"/>
        <v>139833.447767729</v>
      </c>
      <c r="D59" s="1">
        <f t="shared" si="3"/>
        <v>116641.2</v>
      </c>
    </row>
    <row r="60" spans="1:4">
      <c r="A60" s="1">
        <v>2007</v>
      </c>
      <c r="B60" s="1">
        <v>132129</v>
      </c>
      <c r="C60" s="1">
        <f t="shared" si="2"/>
        <v>140222.355102552</v>
      </c>
      <c r="D60" s="1">
        <f t="shared" si="3"/>
        <v>117753.8</v>
      </c>
    </row>
    <row r="61" spans="1:4">
      <c r="A61" s="1">
        <v>2008</v>
      </c>
      <c r="B61" s="1">
        <v>132802</v>
      </c>
      <c r="C61" s="1">
        <f t="shared" si="2"/>
        <v>140589.601889915</v>
      </c>
      <c r="D61" s="1">
        <f t="shared" si="3"/>
        <v>118866.4</v>
      </c>
    </row>
    <row r="62" spans="1:4">
      <c r="A62" s="1">
        <v>2009</v>
      </c>
      <c r="B62" s="1">
        <v>133450</v>
      </c>
      <c r="C62" s="1">
        <f t="shared" si="2"/>
        <v>140936.285496051</v>
      </c>
      <c r="D62" s="1">
        <f t="shared" si="3"/>
        <v>119979</v>
      </c>
    </row>
    <row r="63" spans="1:4">
      <c r="A63" s="1">
        <v>2010</v>
      </c>
      <c r="B63" s="1">
        <v>134091</v>
      </c>
      <c r="C63" s="1">
        <f t="shared" si="2"/>
        <v>141263.460171344</v>
      </c>
      <c r="D63" s="1">
        <f t="shared" si="3"/>
        <v>121091.6</v>
      </c>
    </row>
    <row r="64" spans="1:4">
      <c r="A64" s="1">
        <v>2011</v>
      </c>
      <c r="B64" s="1">
        <v>134916</v>
      </c>
      <c r="C64" s="1">
        <f t="shared" si="2"/>
        <v>141572.13725144</v>
      </c>
      <c r="D64" s="1">
        <f t="shared" si="3"/>
        <v>122204.2</v>
      </c>
    </row>
    <row r="65" spans="1:4">
      <c r="A65" s="1">
        <v>2012</v>
      </c>
      <c r="B65" s="1">
        <v>135792</v>
      </c>
      <c r="C65" s="1">
        <f t="shared" si="2"/>
        <v>141863.285574827</v>
      </c>
      <c r="D65" s="1">
        <f t="shared" si="3"/>
        <v>123316.8</v>
      </c>
    </row>
    <row r="66" spans="1:4">
      <c r="A66" s="1">
        <v>2013</v>
      </c>
      <c r="B66" s="1">
        <v>136635</v>
      </c>
      <c r="C66" s="1">
        <f t="shared" si="2"/>
        <v>142137.832085372</v>
      </c>
      <c r="D66" s="1">
        <f t="shared" si="3"/>
        <v>124429.4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hainuo</dc:creator>
  <cp:lastModifiedBy>丁俊杰</cp:lastModifiedBy>
  <dcterms:created xsi:type="dcterms:W3CDTF">2026-06-03T06:43:35Z</dcterms:created>
  <dcterms:modified xsi:type="dcterms:W3CDTF">2026-06-03T08:05:39Z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813636DF987B4278952480501676FAA5_13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