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<sst xmlns="http://schemas.openxmlformats.org/spreadsheetml/2006/main" count="4" uniqueCount="4">
  <si>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年份</t>
  </si>
  <si>
    <t>年末总人口（万人）</t>
  </si>
  <si>
    <t>Logistic 拟合人口（万人）</t>
  </si>
  <si>
    <t>线性拟合人口（万人）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</si>
</sst>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图 2 验证集实测总人口、线性与 Logistic 模型拟合曲线对比
</a:t>
            </a:r>
          </a:p>
        </c:rich>
      </c:tx>
      <c:layout>
        <c:manualLayout>
          <c:xMode val="edge"/>
          <c:yMode val="edge"/>
          <c:x val="0.178711362646931"/>
          <c:y val="0.8872425544525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87244231606"/>
          <c:y val="0.0757369614512472"/>
          <c:w val="0.676743578580758"/>
          <c:h val="0.697566137566138"/>
        </c:manualLayout>
      </c:layout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年末总人口（万人）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Sheet1!$A$2:$A$13</c:f>
              <c:numCache>
                <c:formatCode>0_ </c:formatCode>
                <c:ptCount val="12"/>
                <c:pt idx="0" c:formatCode="0_ ">
                  <c:v>2014</c:v>
                </c:pt>
                <c:pt idx="1" c:formatCode="0_ ">
                  <c:v>2015</c:v>
                </c:pt>
                <c:pt idx="2" c:formatCode="0_ ">
                  <c:v>2016</c:v>
                </c:pt>
                <c:pt idx="3" c:formatCode="0_ ">
                  <c:v>2017</c:v>
                </c:pt>
                <c:pt idx="4" c:formatCode="0_ ">
                  <c:v>2018</c:v>
                </c:pt>
                <c:pt idx="5" c:formatCode="0_ ">
                  <c:v>2019</c:v>
                </c:pt>
                <c:pt idx="6" c:formatCode="0_ ">
                  <c:v>2020</c:v>
                </c:pt>
                <c:pt idx="7" c:formatCode="0_ ">
                  <c:v>2021</c:v>
                </c:pt>
                <c:pt idx="8" c:formatCode="0_ ">
                  <c:v>2022</c:v>
                </c:pt>
                <c:pt idx="9" c:formatCode="0_ ">
                  <c:v>2023</c:v>
                </c:pt>
                <c:pt idx="10" c:formatCode="0_ ">
                  <c:v>2024</c:v>
                </c:pt>
                <c:pt idx="11" c:formatCode="0_ ">
                  <c:v>2025</c:v>
                </c:pt>
              </c:numCache>
            </c:numRef>
          </c:cat>
          <c:val>
            <c:numRef>
              <c:f>Sheet1!$B$2:$B$13</c:f>
              <c:numCache>
                <c:formatCode>0_ </c:formatCode>
                <c:ptCount val="12"/>
                <c:pt idx="0">
                  <c:v>136782</c:v>
                </c:pt>
                <c:pt idx="1">
                  <c:v>137462</c:v>
                </c:pt>
                <c:pt idx="2">
                  <c:v>138271</c:v>
                </c:pt>
                <c:pt idx="3">
                  <c:v>139008</c:v>
                </c:pt>
                <c:pt idx="4">
                  <c:v>139538</c:v>
                </c:pt>
                <c:pt idx="5">
                  <c:v>140005</c:v>
                </c:pt>
                <c:pt idx="6">
                  <c:v>141178</c:v>
                </c:pt>
                <c:pt idx="7">
                  <c:v>141260</c:v>
                </c:pt>
                <c:pt idx="8">
                  <c:v>141175</c:v>
                </c:pt>
                <c:pt idx="9">
                  <c:v>140967</c:v>
                </c:pt>
                <c:pt idx="10">
                  <c:v>140828</c:v>
                </c:pt>
                <c:pt idx="11">
                  <c:v>140489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Logistic 拟合人口（万人）</c:v>
                </c:pt>
              </c:strCache>
            </c:strRef>
          </c:tx>
          <c:spPr>
            <a:ln w="28575" cap="rnd" cmpd="thickThin">
              <a:solidFill>
                <a:srgbClr val="FF0000"/>
              </a:solidFill>
              <a:prstDash val="sysDot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Sheet1!$A$2:$A$13</c:f>
              <c:numCache>
                <c:formatCode>0_ </c:formatCode>
                <c:ptCount val="12"/>
                <c:pt idx="0" c:formatCode="0_ ">
                  <c:v>2014</c:v>
                </c:pt>
                <c:pt idx="1" c:formatCode="0_ ">
                  <c:v>2015</c:v>
                </c:pt>
                <c:pt idx="2" c:formatCode="0_ ">
                  <c:v>2016</c:v>
                </c:pt>
                <c:pt idx="3" c:formatCode="0_ ">
                  <c:v>2017</c:v>
                </c:pt>
                <c:pt idx="4" c:formatCode="0_ ">
                  <c:v>2018</c:v>
                </c:pt>
                <c:pt idx="5" c:formatCode="0_ ">
                  <c:v>2019</c:v>
                </c:pt>
                <c:pt idx="6" c:formatCode="0_ ">
                  <c:v>2020</c:v>
                </c:pt>
                <c:pt idx="7" c:formatCode="0_ ">
                  <c:v>2021</c:v>
                </c:pt>
                <c:pt idx="8" c:formatCode="0_ ">
                  <c:v>2022</c:v>
                </c:pt>
                <c:pt idx="9" c:formatCode="0_ ">
                  <c:v>2023</c:v>
                </c:pt>
                <c:pt idx="10" c:formatCode="0_ ">
                  <c:v>2024</c:v>
                </c:pt>
                <c:pt idx="11" c:formatCode="0_ ">
                  <c:v>2025</c:v>
                </c:pt>
              </c:numCache>
            </c:numRef>
          </c:cat>
          <c:val>
            <c:numRef>
              <c:f>Sheet1!$C$2:$C$13</c:f>
              <c:numCache>
                <c:formatCode>0_ </c:formatCode>
                <c:ptCount val="12"/>
                <c:pt idx="0">
                  <c:v>142396.662591135</c:v>
                </c:pt>
                <c:pt idx="1">
                  <c:v>142640.622653486</c:v>
                </c:pt>
                <c:pt idx="2">
                  <c:v>142870.518583148</c:v>
                </c:pt>
                <c:pt idx="3">
                  <c:v>143087.118522211</c:v>
                </c:pt>
                <c:pt idx="4">
                  <c:v>143291.153593483</c:v>
                </c:pt>
                <c:pt idx="5">
                  <c:v>143483.319100633</c:v>
                </c:pt>
                <c:pt idx="6">
                  <c:v>143664.275764588</c:v>
                </c:pt>
                <c:pt idx="7">
                  <c:v>143834.650983426</c:v>
                </c:pt>
                <c:pt idx="8">
                  <c:v>143995.040104667</c:v>
                </c:pt>
                <c:pt idx="9">
                  <c:v>144146.00770039</c:v>
                </c:pt>
                <c:pt idx="10">
                  <c:v>144288.088836941</c:v>
                </c:pt>
                <c:pt idx="11">
                  <c:v>144421.790332235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线性拟合人口（万人）</c:v>
                </c:pt>
              </c:strCache>
            </c:strRef>
          </c:tx>
          <c:spPr>
            <a:ln w="12700" cap="rnd" cmpd="sng">
              <a:solidFill>
                <a:schemeClr val="accent3">
                  <a:lumMod val="50000"/>
                </a:schemeClr>
              </a:solidFill>
              <a:prstDash val="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Sheet1!$A$2:$A$13</c:f>
              <c:numCache>
                <c:formatCode>0_ </c:formatCode>
                <c:ptCount val="12"/>
                <c:pt idx="0" c:formatCode="0_ ">
                  <c:v>2014</c:v>
                </c:pt>
                <c:pt idx="1" c:formatCode="0_ ">
                  <c:v>2015</c:v>
                </c:pt>
                <c:pt idx="2" c:formatCode="0_ ">
                  <c:v>2016</c:v>
                </c:pt>
                <c:pt idx="3" c:formatCode="0_ ">
                  <c:v>2017</c:v>
                </c:pt>
                <c:pt idx="4" c:formatCode="0_ ">
                  <c:v>2018</c:v>
                </c:pt>
                <c:pt idx="5" c:formatCode="0_ ">
                  <c:v>2019</c:v>
                </c:pt>
                <c:pt idx="6" c:formatCode="0_ ">
                  <c:v>2020</c:v>
                </c:pt>
                <c:pt idx="7" c:formatCode="0_ ">
                  <c:v>2021</c:v>
                </c:pt>
                <c:pt idx="8" c:formatCode="0_ ">
                  <c:v>2022</c:v>
                </c:pt>
                <c:pt idx="9" c:formatCode="0_ ">
                  <c:v>2023</c:v>
                </c:pt>
                <c:pt idx="10" c:formatCode="0_ ">
                  <c:v>2024</c:v>
                </c:pt>
                <c:pt idx="11" c:formatCode="0_ ">
                  <c:v>2025</c:v>
                </c:pt>
              </c:numCache>
            </c:numRef>
          </c:cat>
          <c:val>
            <c:numRef>
              <c:f>Sheet1!$D$2:$D$13</c:f>
              <c:numCache>
                <c:formatCode>0_ </c:formatCode>
                <c:ptCount val="12"/>
                <c:pt idx="0">
                  <c:v>125542</c:v>
                </c:pt>
                <c:pt idx="1">
                  <c:v>126654.6</c:v>
                </c:pt>
                <c:pt idx="2">
                  <c:v>127767.2</c:v>
                </c:pt>
                <c:pt idx="3">
                  <c:v>128879.8</c:v>
                </c:pt>
                <c:pt idx="4">
                  <c:v>129992.4</c:v>
                </c:pt>
                <c:pt idx="5">
                  <c:v>131105</c:v>
                </c:pt>
                <c:pt idx="6">
                  <c:v>132217.6</c:v>
                </c:pt>
                <c:pt idx="7">
                  <c:v>133330.2</c:v>
                </c:pt>
                <c:pt idx="8">
                  <c:v>134442.8</c:v>
                </c:pt>
                <c:pt idx="9">
                  <c:v>135555.4</c:v>
                </c:pt>
                <c:pt idx="10">
                  <c:v>136668</c:v>
                </c:pt>
                <c:pt idx="11">
                  <c:v>137780.6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4002966"/>
        <c:axId val="7667925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年份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Sheet1!$A$2:$A$13</c15:sqref>
                        </c15:formulaRef>
                      </c:ext>
                    </c:extLst>
                    <c:numCache>
                      <c:formatCode>0_ </c:formatCode>
                      <c:ptCount val="12"/>
                      <c:pt idx="0" c:formatCode="0_ ">
                        <c:v>2014</c:v>
                      </c:pt>
                      <c:pt idx="1" c:formatCode="0_ ">
                        <c:v>2015</c:v>
                      </c:pt>
                      <c:pt idx="2" c:formatCode="0_ ">
                        <c:v>2016</c:v>
                      </c:pt>
                      <c:pt idx="3" c:formatCode="0_ ">
                        <c:v>2017</c:v>
                      </c:pt>
                      <c:pt idx="4" c:formatCode="0_ ">
                        <c:v>2018</c:v>
                      </c:pt>
                      <c:pt idx="5" c:formatCode="0_ ">
                        <c:v>2019</c:v>
                      </c:pt>
                      <c:pt idx="6" c:formatCode="0_ ">
                        <c:v>2020</c:v>
                      </c:pt>
                      <c:pt idx="7" c:formatCode="0_ ">
                        <c:v>2021</c:v>
                      </c:pt>
                      <c:pt idx="8" c:formatCode="0_ ">
                        <c:v>2022</c:v>
                      </c:pt>
                      <c:pt idx="9" c:formatCode="0_ ">
                        <c:v>2023</c:v>
                      </c:pt>
                      <c:pt idx="10" c:formatCode="0_ ">
                        <c:v>2024</c:v>
                      </c:pt>
                      <c:pt idx="11" c:formatCode="0_ 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Sheet1!$A$2:$A$13</c15:sqref>
                        </c15:formulaRef>
                      </c:ext>
                    </c:extLst>
                    <c:numCache>
                      <c:formatCode>0_ </c:formatCode>
                      <c:ptCount val="12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  <c:pt idx="10">
                        <c:v>2024</c:v>
                      </c:pt>
                      <c:pt idx="11">
                        <c:v>2025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40029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年份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792567"/>
        <c:crosses val="autoZero"/>
        <c:auto val="1"/>
        <c:lblAlgn val="ctr"/>
        <c:lblOffset val="100"/>
        <c:noMultiLvlLbl val="0"/>
      </c:catAx>
      <c:valAx>
        <c:axId val="766792567"/>
        <c:scaling>
          <c:orientation val="minMax"/>
          <c:min val="12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年末总人口（万人）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0029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11623857205"/>
          <c:y val="0.469992441421013"/>
          <c:w val="0.207400957771006"/>
          <c:h val="0.13439153439153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57150</xdr:colOff>
      <xdr:row>1</xdr:row>
      <xdr:rowOff>29845</xdr:rowOff>
    </xdr:from>
    <xdr:to>
      <xdr:col>14</xdr:col>
      <xdr:colOff>492125</xdr:colOff>
      <xdr:row>26</xdr:row>
      <xdr:rowOff>29210</xdr:rowOff>
    </xdr:to>
    <xdr:graphicFrame>
      <xdr:nvGraphicFramePr>
        <xdr:cNvPr id="2" name="图表 1"/>
        <xdr:cNvGraphicFramePr/>
      </xdr:nvGraphicFramePr>
      <xdr:xfrm>
        <a:off x="6105525" y="201295"/>
        <a:ext cx="7292975" cy="4285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P6" sqref="P6"/>
    </sheetView>
  </sheetViews>
  <sheetFormatPr defaultColWidth="9" defaultRowHeight="13.5" outlineLevelCol="3"/>
  <cols>
    <col min="2" max="2" width="17.75" customWidth="1"/>
    <col min="3" max="3" width="26.125" customWidth="1"/>
    <col min="4" max="4" width="26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2014</v>
      </c>
      <c r="B2" s="2">
        <v>136782</v>
      </c>
      <c r="C2" s="2">
        <f>146520/(1+(146520/54167-1)*EXP(-0.0627*((A2-1948)-1)))</f>
        <v>142396.662591135</v>
      </c>
      <c r="D2" s="2">
        <f>52110.4+1112.6*(A2-1948)</f>
        <v>125542</v>
      </c>
    </row>
    <row r="3" spans="1:4">
      <c r="A3" s="2">
        <v>2015</v>
      </c>
      <c r="B3" s="2">
        <v>137462</v>
      </c>
      <c r="C3" s="2">
        <f t="shared" ref="C3:C13" si="0">146520/(1+(146520/54167-1)*EXP(-0.0627*((A3-1948)-1)))</f>
        <v>142640.622653486</v>
      </c>
      <c r="D3" s="2">
        <f t="shared" ref="D3:D13" si="1">52110.4+1112.6*(A3-1948)</f>
        <v>126654.6</v>
      </c>
    </row>
    <row r="4" spans="1:4">
      <c r="A4" s="2">
        <v>2016</v>
      </c>
      <c r="B4" s="2">
        <v>138271</v>
      </c>
      <c r="C4" s="2">
        <f t="shared" si="0"/>
        <v>142870.518583148</v>
      </c>
      <c r="D4" s="2">
        <f t="shared" si="1"/>
        <v>127767.2</v>
      </c>
    </row>
    <row r="5" spans="1:4">
      <c r="A5" s="2">
        <v>2017</v>
      </c>
      <c r="B5" s="2">
        <v>139008</v>
      </c>
      <c r="C5" s="2">
        <f t="shared" si="0"/>
        <v>143087.118522211</v>
      </c>
      <c r="D5" s="2">
        <f t="shared" si="1"/>
        <v>128879.8</v>
      </c>
    </row>
    <row r="6" spans="1:4">
      <c r="A6" s="2">
        <v>2018</v>
      </c>
      <c r="B6" s="2">
        <v>139538</v>
      </c>
      <c r="C6" s="2">
        <f t="shared" si="0"/>
        <v>143291.153593483</v>
      </c>
      <c r="D6" s="2">
        <f t="shared" si="1"/>
        <v>129992.4</v>
      </c>
    </row>
    <row r="7" spans="1:4">
      <c r="A7" s="2">
        <v>2019</v>
      </c>
      <c r="B7" s="2">
        <v>140005</v>
      </c>
      <c r="C7" s="2">
        <f t="shared" si="0"/>
        <v>143483.319100633</v>
      </c>
      <c r="D7" s="2">
        <f t="shared" si="1"/>
        <v>131105</v>
      </c>
    </row>
    <row r="8" spans="1:4">
      <c r="A8" s="2">
        <v>2020</v>
      </c>
      <c r="B8" s="2">
        <v>141178</v>
      </c>
      <c r="C8" s="2">
        <f t="shared" si="0"/>
        <v>143664.275764588</v>
      </c>
      <c r="D8" s="2">
        <f t="shared" si="1"/>
        <v>132217.6</v>
      </c>
    </row>
    <row r="9" spans="1:4">
      <c r="A9" s="2">
        <v>2021</v>
      </c>
      <c r="B9" s="2">
        <v>141260</v>
      </c>
      <c r="C9" s="2">
        <f t="shared" si="0"/>
        <v>143834.650983426</v>
      </c>
      <c r="D9" s="2">
        <f t="shared" si="1"/>
        <v>133330.2</v>
      </c>
    </row>
    <row r="10" spans="1:4">
      <c r="A10" s="2">
        <v>2022</v>
      </c>
      <c r="B10" s="2">
        <v>141175</v>
      </c>
      <c r="C10" s="2">
        <f t="shared" si="0"/>
        <v>143995.040104667</v>
      </c>
      <c r="D10" s="2">
        <f t="shared" si="1"/>
        <v>134442.8</v>
      </c>
    </row>
    <row r="11" spans="1:4">
      <c r="A11" s="2">
        <v>2023</v>
      </c>
      <c r="B11" s="2">
        <v>140967</v>
      </c>
      <c r="C11" s="2">
        <f t="shared" si="0"/>
        <v>144146.00770039</v>
      </c>
      <c r="D11" s="2">
        <f t="shared" si="1"/>
        <v>135555.4</v>
      </c>
    </row>
    <row r="12" spans="1:4">
      <c r="A12" s="2">
        <v>2024</v>
      </c>
      <c r="B12" s="2">
        <v>140828</v>
      </c>
      <c r="C12" s="2">
        <f t="shared" si="0"/>
        <v>144288.088836941</v>
      </c>
      <c r="D12" s="2">
        <f t="shared" si="1"/>
        <v>136668</v>
      </c>
    </row>
    <row r="13" spans="1:4">
      <c r="A13" s="2">
        <v>2025</v>
      </c>
      <c r="B13" s="2">
        <v>140489</v>
      </c>
      <c r="C13" s="2">
        <f t="shared" si="0"/>
        <v>144421.790332235</v>
      </c>
      <c r="D13" s="2">
        <f t="shared" si="1"/>
        <v>137780.6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hainuo</dc:creator>
  <cp:lastModifiedBy>丁俊杰</cp:lastModifiedBy>
  <dcterms:created xsi:type="dcterms:W3CDTF">2026-06-03T08:06:04Z</dcterms:created>
  <dcterms:modified xsi:type="dcterms:W3CDTF">2026-06-03T08:21:59Z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A0DDC25B1B5048D4A66B38AB83726B1A_11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